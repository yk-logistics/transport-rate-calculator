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NE_PAGE_SUMMARY" sheetId="1" state="visible" r:id="rId1"/>
    <sheet xmlns:r="http://schemas.openxmlformats.org/officeDocument/2006/relationships" name="Billing_Inputs" sheetId="2" state="visible" r:id="rId2"/>
    <sheet xmlns:r="http://schemas.openxmlformats.org/officeDocument/2006/relationships" name="Info" sheetId="3" state="visible" r:id="rId3"/>
    <sheet xmlns:r="http://schemas.openxmlformats.org/officeDocument/2006/relationships" name="Trip_Detail" sheetId="4" state="visible" r:id="rId4"/>
    <sheet xmlns:r="http://schemas.openxmlformats.org/officeDocument/2006/relationships" name="Daily_All_ByDestDate" sheetId="5" state="visible" r:id="rId5"/>
    <sheet xmlns:r="http://schemas.openxmlformats.org/officeDocument/2006/relationships" name="Daily_BigC_ByDestDate" sheetId="6" state="visible" r:id="rId6"/>
    <sheet xmlns:r="http://schemas.openxmlformats.org/officeDocument/2006/relationships" name="Daily_LCB_ByDestDate" sheetId="7" state="visible" r:id="rId7"/>
    <sheet xmlns:r="http://schemas.openxmlformats.org/officeDocument/2006/relationships" name="Billing_By_Truck_Day" sheetId="8" state="visible" r:id="rId8"/>
    <sheet xmlns:r="http://schemas.openxmlformats.org/officeDocument/2006/relationships" name="Billing_Daily_Summary" sheetId="9" state="visible" r:id="rId9"/>
    <sheet xmlns:r="http://schemas.openxmlformats.org/officeDocument/2006/relationships" name="Abnormal_Travel" sheetId="10" state="visible" r:id="rId10"/>
    <sheet xmlns:r="http://schemas.openxmlformats.org/officeDocument/2006/relationships" name="Unmatched_Log" sheetId="11" state="visible" r:id="rId11"/>
    <sheet xmlns:r="http://schemas.openxmlformats.org/officeDocument/2006/relationships" name="Daily_Activity" sheetId="12" state="visible" r:id="rId12"/>
    <sheet xmlns:r="http://schemas.openxmlformats.org/officeDocument/2006/relationships" name="Invoice_LineItems" sheetId="13" state="visible" r:id="rId13"/>
    <sheet xmlns:r="http://schemas.openxmlformats.org/officeDocument/2006/relationships" name="Billing_Workbench" sheetId="14" state="visible" r:id="rId14"/>
    <sheet xmlns:r="http://schemas.openxmlformats.org/officeDocument/2006/relationships" name="Daily_Time_24h_Check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7" customWidth="1" min="1" max="1"/>
    <col width="14" customWidth="1" min="2" max="2"/>
  </cols>
  <sheetData>
    <row r="1">
      <c r="A1" t="inlineStr">
        <is>
          <t>Topic</t>
        </is>
      </c>
      <c r="B1" t="inlineStr">
        <is>
          <t>Value</t>
        </is>
      </c>
    </row>
    <row r="2">
      <c r="A2" t="inlineStr">
        <is>
          <t>Billing date basis</t>
        </is>
      </c>
      <c r="B2" t="inlineStr">
        <is>
          <t>Dest_In date</t>
        </is>
      </c>
    </row>
    <row r="3">
      <c r="A3" t="inlineStr">
        <is>
          <t>Actual trips total</t>
        </is>
      </c>
      <c r="B3" t="n">
        <v>45</v>
      </c>
    </row>
    <row r="4">
      <c r="A4" t="inlineStr">
        <is>
          <t>Commit min trips total</t>
        </is>
      </c>
      <c r="B4" t="n">
        <v>60</v>
      </c>
    </row>
    <row r="5">
      <c r="A5" t="inlineStr">
        <is>
          <t>Shortfall trips total</t>
        </is>
      </c>
      <c r="B5" t="n">
        <v>18</v>
      </c>
    </row>
    <row r="6">
      <c r="A6" t="inlineStr">
        <is>
          <t>Extra charge total</t>
        </is>
      </c>
      <c r="B6" t="n">
        <v>140000</v>
      </c>
    </row>
    <row r="7">
      <c r="A7" t="inlineStr">
        <is>
          <t>Matched trips (all dates)</t>
        </is>
      </c>
      <c r="B7" t="n">
        <v>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70" customWidth="1" min="3" max="3"/>
  </cols>
  <sheetData>
    <row r="1">
      <c r="A1" t="inlineStr">
        <is>
          <t>Key</t>
        </is>
      </c>
      <c r="B1" t="inlineStr">
        <is>
          <t>Value</t>
        </is>
      </c>
      <c r="C1" t="inlineStr">
        <is>
          <t>Notes</t>
        </is>
      </c>
    </row>
    <row r="2">
      <c r="A2" t="inlineStr">
        <is>
          <t>RATE_9_11</t>
        </is>
      </c>
      <c r="B2" t="n">
        <v>7500</v>
      </c>
      <c r="C2" t="inlineStr">
        <is>
          <t>9-11 Apr 2026 (agreed)</t>
        </is>
      </c>
    </row>
    <row r="3">
      <c r="A3" t="inlineStr">
        <is>
          <t>RATE_12_15</t>
        </is>
      </c>
      <c r="B3" t="n">
        <v>8000</v>
      </c>
      <c r="C3" t="inlineStr">
        <is>
          <t>12-15 Apr 2026 (agreed)</t>
        </is>
      </c>
    </row>
    <row r="4">
      <c r="A4" t="inlineStr">
        <is>
          <t>WAIT_ORIGIN_THB_PER_H</t>
        </is>
      </c>
      <c r="C4" t="inlineStr">
        <is>
          <t>fill later</t>
        </is>
      </c>
    </row>
    <row r="5">
      <c r="A5" t="inlineStr">
        <is>
          <t>WAIT_DEST_THB_PER_H</t>
        </is>
      </c>
      <c r="C5" t="inlineStr">
        <is>
          <t>fill later</t>
        </is>
      </c>
    </row>
    <row r="6">
      <c r="A6" t="inlineStr">
        <is>
          <t>FREE_WAIT_ORIGIN_H</t>
        </is>
      </c>
      <c r="B6" t="n">
        <v>0</v>
      </c>
      <c r="C6" t="inlineStr">
        <is>
          <t>optional</t>
        </is>
      </c>
    </row>
    <row r="7">
      <c r="A7" t="inlineStr">
        <is>
          <t>FREE_WAIT_DEST_H</t>
        </is>
      </c>
      <c r="B7" t="n">
        <v>0</v>
      </c>
      <c r="C7" t="inlineStr">
        <is>
          <t>optional</t>
        </is>
      </c>
    </row>
    <row r="8">
      <c r="A8" t="inlineStr">
        <is>
          <t>SHORTFALL_THB_PER_TRIP</t>
        </is>
      </c>
      <c r="C8" t="inlineStr">
        <is>
          <t>optional override; blank uses day rate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5" customWidth="1" min="1" max="1"/>
    <col width="95" customWidth="1" min="2" max="2"/>
  </col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Origin point file</t>
        </is>
      </c>
      <c r="B2" t="inlineStr">
        <is>
          <t>Y.K._Logistics_Solutions_Service_Co.,_Ltd._รายงานการผ่านจุด_17.04.2026_13-04-41 Oatside.xlsx</t>
        </is>
      </c>
    </row>
    <row r="3">
      <c r="A3" t="inlineStr">
        <is>
          <t>Destination point file</t>
        </is>
      </c>
      <c r="B3" t="inlineStr">
        <is>
          <t>Y.K._Logistics_Solutions_Service_Co.,_Ltd._รายงานการผ่านจุด_17.04.2026_13-05-19 P&amp;G เวลล์โกล.xlsx</t>
        </is>
      </c>
    </row>
    <row r="4">
      <c r="A4" t="inlineStr">
        <is>
          <t>Matching method</t>
        </is>
      </c>
      <c r="B4" t="inlineStr">
        <is>
          <t>DP sequence match with skip penalty 6h and max gap 30h</t>
        </is>
      </c>
    </row>
    <row r="5">
      <c r="A5" t="inlineStr">
        <is>
          <t>Matched trips</t>
        </is>
      </c>
      <c r="B5" t="n">
        <v>59</v>
      </c>
    </row>
    <row r="6">
      <c r="A6" t="inlineStr">
        <is>
          <t>Unmatched origin events</t>
        </is>
      </c>
      <c r="B6" t="n">
        <v>9</v>
      </c>
    </row>
    <row r="7">
      <c r="A7" t="inlineStr">
        <is>
          <t>Unmatched destination events</t>
        </is>
      </c>
      <c r="B7" t="n">
        <v>3</v>
      </c>
    </row>
    <row r="8">
      <c r="A8" t="inlineStr">
        <is>
          <t>Travel abnormal threshold (hours)</t>
        </is>
      </c>
      <c r="B8" t="n">
        <v>8</v>
      </c>
    </row>
    <row r="9">
      <c r="A9" t="inlineStr">
        <is>
          <t>BigC rule</t>
        </is>
      </c>
      <c r="B9" t="inlineStr">
        <is>
          <t>71-5041,71-5042,71-8000..71-8009</t>
        </is>
      </c>
    </row>
    <row r="11">
      <c r="A11" t="inlineStr">
        <is>
          <t>Daily_Time_24h_Check</t>
        </is>
      </c>
    </row>
    <row r="12">
      <c r="A12" t="inlineStr">
        <is>
          <t>Matched_Cycle_h: sum of Total_Cycle_h from Trip_Detail grouped by Trip_Date + Plate. Unmatched_*: sum of (Out-In) from Unmatched_Log by calendar date of In + Plate; split Origin/Dest. Combined_h = Matched + Unmatched_Total. Gap_vs_24_h = 24 - Combined (remaining time not from these logs).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60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6" customWidth="1" min="4" max="4"/>
    <col width="9" customWidth="1" min="5" max="5"/>
    <col width="34" customWidth="1" min="6" max="6"/>
    <col width="12" customWidth="1" min="7" max="7"/>
    <col width="10" customWidth="1" min="8" max="8"/>
    <col width="21" customWidth="1" min="9" max="9"/>
    <col width="21" customWidth="1" min="10" max="10"/>
    <col width="15" customWidth="1" min="11" max="11"/>
    <col width="21" customWidth="1" min="12" max="12"/>
    <col width="21" customWidth="1" min="13" max="13"/>
    <col width="29" customWidth="1" min="14" max="14"/>
    <col width="13" customWidth="1" min="15" max="15"/>
    <col width="15" customWidth="1" min="16" max="16"/>
    <col width="13" customWidth="1" min="17" max="17"/>
  </cols>
  <sheetData>
    <row r="1">
      <c r="A1" t="inlineStr">
        <is>
          <t>Trip_Date</t>
        </is>
      </c>
      <c r="B1" t="inlineStr">
        <is>
          <t>Origin_Date</t>
        </is>
      </c>
      <c r="C1" t="inlineStr">
        <is>
          <t>Dest_Date</t>
        </is>
      </c>
      <c r="D1" t="inlineStr">
        <is>
          <t>Site</t>
        </is>
      </c>
      <c r="E1" t="inlineStr">
        <is>
          <t>Plate</t>
        </is>
      </c>
      <c r="F1" t="inlineStr">
        <is>
          <t>Device</t>
        </is>
      </c>
      <c r="G1" t="inlineStr">
        <is>
          <t>Origin_Row</t>
        </is>
      </c>
      <c r="H1" t="inlineStr">
        <is>
          <t>Dest_Row</t>
        </is>
      </c>
      <c r="I1" t="inlineStr">
        <is>
          <t>Origin_In</t>
        </is>
      </c>
      <c r="J1" t="inlineStr">
        <is>
          <t>Origin_Out</t>
        </is>
      </c>
      <c r="K1" t="inlineStr">
        <is>
          <t>Origin_Wait_h</t>
        </is>
      </c>
      <c r="L1" t="inlineStr">
        <is>
          <t>Dest_In</t>
        </is>
      </c>
      <c r="M1" t="inlineStr">
        <is>
          <t>Dest_Out</t>
        </is>
      </c>
      <c r="N1" t="inlineStr">
        <is>
          <t>Travel_h(OriginOut-&gt;DestIn)</t>
        </is>
      </c>
      <c r="O1" t="inlineStr">
        <is>
          <t>Dest_Wait_h</t>
        </is>
      </c>
      <c r="P1" t="inlineStr">
        <is>
          <t>Total_Cycle_h</t>
        </is>
      </c>
      <c r="Q1" t="inlineStr">
        <is>
          <t>Travel_Flag</t>
        </is>
      </c>
      <c r="R1" t="inlineStr">
        <is>
          <t>Billable_Trip</t>
        </is>
      </c>
      <c r="S1" t="inlineStr">
        <is>
          <t>Origin_Wait_Chargeable_h</t>
        </is>
      </c>
      <c r="T1" t="inlineStr">
        <is>
          <t>Dest_Wait_Chargeable_h</t>
        </is>
      </c>
    </row>
    <row r="2">
      <c r="A2" t="inlineStr">
        <is>
          <t>2026-04-09</t>
        </is>
      </c>
      <c r="B2" t="inlineStr">
        <is>
          <t>2026-04-09</t>
        </is>
      </c>
      <c r="C2" t="inlineStr">
        <is>
          <t>2026-04-09</t>
        </is>
      </c>
      <c r="D2" t="inlineStr">
        <is>
          <t>BigC</t>
        </is>
      </c>
      <c r="E2" t="inlineStr">
        <is>
          <t>71-8002</t>
        </is>
      </c>
      <c r="F2" t="inlineStr">
        <is>
          <t>71-8002 สมประสงค์ หัวลาก10W</t>
        </is>
      </c>
      <c r="G2" t="inlineStr">
        <is>
          <t>1.1</t>
        </is>
      </c>
      <c r="H2" t="inlineStr">
        <is>
          <t>1.1</t>
        </is>
      </c>
      <c r="I2" t="inlineStr">
        <is>
          <t>2026-04-09 07:55:45</t>
        </is>
      </c>
      <c r="J2" t="inlineStr">
        <is>
          <t>2026-04-09 11:54:55</t>
        </is>
      </c>
      <c r="K2" t="n">
        <v>3.99</v>
      </c>
      <c r="L2" t="inlineStr">
        <is>
          <t>2026-04-09 13:56:01</t>
        </is>
      </c>
      <c r="M2" t="inlineStr">
        <is>
          <t>2026-04-09 14:56:57</t>
        </is>
      </c>
      <c r="N2" t="n">
        <v>2.02</v>
      </c>
      <c r="O2" t="n">
        <v>1.02</v>
      </c>
      <c r="P2" t="n">
        <v>7.02</v>
      </c>
      <c r="R2" t="n">
        <v>1</v>
      </c>
      <c r="S2">
        <f>MAX(0,K2-Billing_Inputs!$B$6)</f>
        <v/>
      </c>
      <c r="T2">
        <f>MAX(0,O2-Billing_Inputs!$B$7)</f>
        <v/>
      </c>
    </row>
    <row r="3">
      <c r="A3" t="inlineStr">
        <is>
          <t>2026-04-09</t>
        </is>
      </c>
      <c r="B3" t="inlineStr">
        <is>
          <t>2026-04-09</t>
        </is>
      </c>
      <c r="C3" t="inlineStr">
        <is>
          <t>2026-04-09</t>
        </is>
      </c>
      <c r="D3" t="inlineStr">
        <is>
          <t>BigC</t>
        </is>
      </c>
      <c r="E3" t="inlineStr">
        <is>
          <t>71-8001</t>
        </is>
      </c>
      <c r="F3" t="inlineStr">
        <is>
          <t>71-8001 ธนวัฒน์ หัวลาก10W</t>
        </is>
      </c>
      <c r="G3" t="inlineStr">
        <is>
          <t>2.1</t>
        </is>
      </c>
      <c r="H3" t="inlineStr">
        <is>
          <t>2.1</t>
        </is>
      </c>
      <c r="I3" t="inlineStr">
        <is>
          <t>2026-04-09 08:10:23</t>
        </is>
      </c>
      <c r="J3" t="inlineStr">
        <is>
          <t>2026-04-09 12:58:54</t>
        </is>
      </c>
      <c r="K3" t="n">
        <v>4.81</v>
      </c>
      <c r="L3" t="inlineStr">
        <is>
          <t>2026-04-09 14:58:13</t>
        </is>
      </c>
      <c r="M3" t="inlineStr">
        <is>
          <t>2026-04-09 16:05:16</t>
        </is>
      </c>
      <c r="N3" t="n">
        <v>1.99</v>
      </c>
      <c r="O3" t="n">
        <v>1.12</v>
      </c>
      <c r="P3" t="n">
        <v>7.91</v>
      </c>
      <c r="R3" t="n">
        <v>1</v>
      </c>
      <c r="S3">
        <f>MAX(0,K3-Billing_Inputs!$B$6)</f>
        <v/>
      </c>
      <c r="T3">
        <f>MAX(0,O3-Billing_Inputs!$B$7)</f>
        <v/>
      </c>
    </row>
    <row r="4">
      <c r="A4" t="inlineStr">
        <is>
          <t>2026-04-09</t>
        </is>
      </c>
      <c r="B4" t="inlineStr">
        <is>
          <t>2026-04-09</t>
        </is>
      </c>
      <c r="C4" t="inlineStr">
        <is>
          <t>2026-04-09</t>
        </is>
      </c>
      <c r="D4" t="inlineStr">
        <is>
          <t>BigC</t>
        </is>
      </c>
      <c r="E4" t="inlineStr">
        <is>
          <t>71-8001</t>
        </is>
      </c>
      <c r="F4" t="inlineStr">
        <is>
          <t>71-8001 ธนวัฒน์ หัวลาก10W</t>
        </is>
      </c>
      <c r="G4" t="inlineStr">
        <is>
          <t>2.2</t>
        </is>
      </c>
      <c r="H4" t="inlineStr">
        <is>
          <t>2.2</t>
        </is>
      </c>
      <c r="I4" t="inlineStr">
        <is>
          <t>2026-04-09 17:55:05</t>
        </is>
      </c>
      <c r="J4" t="inlineStr">
        <is>
          <t>2026-04-09 19:54:54</t>
        </is>
      </c>
      <c r="K4" t="n">
        <v>2</v>
      </c>
      <c r="L4" t="inlineStr">
        <is>
          <t>2026-04-09 22:00:43</t>
        </is>
      </c>
      <c r="M4" t="inlineStr">
        <is>
          <t>2026-04-10 05:11:18</t>
        </is>
      </c>
      <c r="N4" t="n">
        <v>2.1</v>
      </c>
      <c r="O4" t="n">
        <v>7.18</v>
      </c>
      <c r="P4" t="n">
        <v>11.27</v>
      </c>
      <c r="R4" t="n">
        <v>1</v>
      </c>
      <c r="S4">
        <f>MAX(0,K4-Billing_Inputs!$B$6)</f>
        <v/>
      </c>
      <c r="T4">
        <f>MAX(0,O4-Billing_Inputs!$B$7)</f>
        <v/>
      </c>
    </row>
    <row r="5">
      <c r="A5" t="inlineStr">
        <is>
          <t>2026-04-09</t>
        </is>
      </c>
      <c r="B5" t="inlineStr">
        <is>
          <t>2026-04-09</t>
        </is>
      </c>
      <c r="C5" t="inlineStr">
        <is>
          <t>2026-04-10</t>
        </is>
      </c>
      <c r="D5" t="inlineStr">
        <is>
          <t>BigC</t>
        </is>
      </c>
      <c r="E5" t="inlineStr">
        <is>
          <t>71-8002</t>
        </is>
      </c>
      <c r="F5" t="inlineStr">
        <is>
          <t>71-8002 สมประสงค์ หัวลาก10W</t>
        </is>
      </c>
      <c r="G5" t="inlineStr">
        <is>
          <t>1.2</t>
        </is>
      </c>
      <c r="H5" t="inlineStr">
        <is>
          <t>1.2</t>
        </is>
      </c>
      <c r="I5" t="inlineStr">
        <is>
          <t>2026-04-09 16:49:50</t>
        </is>
      </c>
      <c r="J5" t="inlineStr">
        <is>
          <t>2026-04-09 19:25:51</t>
        </is>
      </c>
      <c r="K5" t="n">
        <v>2.6</v>
      </c>
      <c r="L5" t="inlineStr">
        <is>
          <t>2026-04-10 03:57:50</t>
        </is>
      </c>
      <c r="M5" t="inlineStr">
        <is>
          <t>2026-04-10 04:47:18</t>
        </is>
      </c>
      <c r="N5" t="n">
        <v>8.529999999999999</v>
      </c>
      <c r="O5" t="n">
        <v>0.82</v>
      </c>
      <c r="P5" t="n">
        <v>11.96</v>
      </c>
      <c r="Q5" t="inlineStr">
        <is>
          <t>ABNORMAL</t>
        </is>
      </c>
      <c r="R5" t="n">
        <v>1</v>
      </c>
      <c r="S5">
        <f>MAX(0,K5-Billing_Inputs!$B$6)</f>
        <v/>
      </c>
      <c r="T5">
        <f>MAX(0,O5-Billing_Inputs!$B$7)</f>
        <v/>
      </c>
    </row>
    <row r="6">
      <c r="A6" t="inlineStr">
        <is>
          <t>2026-04-10</t>
        </is>
      </c>
      <c r="B6" t="inlineStr">
        <is>
          <t>2026-04-10</t>
        </is>
      </c>
      <c r="C6" t="inlineStr">
        <is>
          <t>2026-04-10</t>
        </is>
      </c>
      <c r="D6" t="inlineStr">
        <is>
          <t>BigC</t>
        </is>
      </c>
      <c r="E6" t="inlineStr">
        <is>
          <t>71-8003</t>
        </is>
      </c>
      <c r="F6" t="inlineStr">
        <is>
          <t>71-8003 เกศศักดิ์ หัวลาก10W</t>
        </is>
      </c>
      <c r="G6" t="inlineStr">
        <is>
          <t>3.1</t>
        </is>
      </c>
      <c r="H6" t="inlineStr">
        <is>
          <t>3.1</t>
        </is>
      </c>
      <c r="I6" t="inlineStr">
        <is>
          <t>2026-04-10 07:21:16</t>
        </is>
      </c>
      <c r="J6" t="inlineStr">
        <is>
          <t>2026-04-10 09:51:50</t>
        </is>
      </c>
      <c r="K6" t="n">
        <v>2.51</v>
      </c>
      <c r="L6" t="inlineStr">
        <is>
          <t>2026-04-10 12:03:20</t>
        </is>
      </c>
      <c r="M6" t="inlineStr">
        <is>
          <t>2026-04-10 14:27:09</t>
        </is>
      </c>
      <c r="N6" t="n">
        <v>2.19</v>
      </c>
      <c r="O6" t="n">
        <v>2.4</v>
      </c>
      <c r="P6" t="n">
        <v>7.1</v>
      </c>
      <c r="R6" t="n">
        <v>1</v>
      </c>
      <c r="S6">
        <f>MAX(0,K6-Billing_Inputs!$B$6)</f>
        <v/>
      </c>
      <c r="T6">
        <f>MAX(0,O6-Billing_Inputs!$B$7)</f>
        <v/>
      </c>
    </row>
    <row r="7">
      <c r="A7" t="inlineStr">
        <is>
          <t>2026-04-10</t>
        </is>
      </c>
      <c r="B7" t="inlineStr">
        <is>
          <t>2026-04-10</t>
        </is>
      </c>
      <c r="C7" t="inlineStr">
        <is>
          <t>2026-04-10</t>
        </is>
      </c>
      <c r="D7" t="inlineStr">
        <is>
          <t>BigC</t>
        </is>
      </c>
      <c r="E7" t="inlineStr">
        <is>
          <t>71-8001</t>
        </is>
      </c>
      <c r="F7" t="inlineStr">
        <is>
          <t>71-8001 ธนวัฒน์ หัวลาก10W</t>
        </is>
      </c>
      <c r="G7" t="inlineStr">
        <is>
          <t>2.3</t>
        </is>
      </c>
      <c r="H7" t="inlineStr">
        <is>
          <t>2.3</t>
        </is>
      </c>
      <c r="I7" t="inlineStr">
        <is>
          <t>2026-04-10 07:28:58</t>
        </is>
      </c>
      <c r="J7" t="inlineStr">
        <is>
          <t>2026-04-10 11:07:07</t>
        </is>
      </c>
      <c r="K7" t="n">
        <v>3.64</v>
      </c>
      <c r="L7" t="inlineStr">
        <is>
          <t>2026-04-10 13:25:42</t>
        </is>
      </c>
      <c r="M7" t="inlineStr">
        <is>
          <t>2026-04-10 14:15:51</t>
        </is>
      </c>
      <c r="N7" t="n">
        <v>2.31</v>
      </c>
      <c r="O7" t="n">
        <v>0.84</v>
      </c>
      <c r="P7" t="n">
        <v>6.78</v>
      </c>
      <c r="R7" t="n">
        <v>1</v>
      </c>
      <c r="S7">
        <f>MAX(0,K7-Billing_Inputs!$B$6)</f>
        <v/>
      </c>
      <c r="T7">
        <f>MAX(0,O7-Billing_Inputs!$B$7)</f>
        <v/>
      </c>
    </row>
    <row r="8">
      <c r="A8" t="inlineStr">
        <is>
          <t>2026-04-10</t>
        </is>
      </c>
      <c r="B8" t="inlineStr">
        <is>
          <t>2026-04-10</t>
        </is>
      </c>
      <c r="C8" t="inlineStr">
        <is>
          <t>2026-04-10</t>
        </is>
      </c>
      <c r="D8" t="inlineStr">
        <is>
          <t>BigC</t>
        </is>
      </c>
      <c r="E8" t="inlineStr">
        <is>
          <t>71-8002</t>
        </is>
      </c>
      <c r="F8" t="inlineStr">
        <is>
          <t>71-8002 สมประสงค์ หัวลาก10W</t>
        </is>
      </c>
      <c r="G8" t="inlineStr">
        <is>
          <t>1.3</t>
        </is>
      </c>
      <c r="H8" t="inlineStr">
        <is>
          <t>1.3</t>
        </is>
      </c>
      <c r="I8" t="inlineStr">
        <is>
          <t>2026-04-10 07:41:54</t>
        </is>
      </c>
      <c r="J8" t="inlineStr">
        <is>
          <t>2026-04-10 13:42:39</t>
        </is>
      </c>
      <c r="K8" t="n">
        <v>6.01</v>
      </c>
      <c r="L8" t="inlineStr">
        <is>
          <t>2026-04-10 15:39:13</t>
        </is>
      </c>
      <c r="M8" t="inlineStr">
        <is>
          <t>2026-04-10 16:36:52</t>
        </is>
      </c>
      <c r="N8" t="n">
        <v>1.94</v>
      </c>
      <c r="O8" t="n">
        <v>0.96</v>
      </c>
      <c r="P8" t="n">
        <v>8.92</v>
      </c>
      <c r="R8" t="n">
        <v>1</v>
      </c>
      <c r="S8">
        <f>MAX(0,K8-Billing_Inputs!$B$6)</f>
        <v/>
      </c>
      <c r="T8">
        <f>MAX(0,O8-Billing_Inputs!$B$7)</f>
        <v/>
      </c>
    </row>
    <row r="9">
      <c r="A9" t="inlineStr">
        <is>
          <t>2026-04-10</t>
        </is>
      </c>
      <c r="B9" t="inlineStr">
        <is>
          <t>2026-04-10</t>
        </is>
      </c>
      <c r="C9" t="inlineStr">
        <is>
          <t>2026-04-10</t>
        </is>
      </c>
      <c r="D9" t="inlineStr">
        <is>
          <t>LCB</t>
        </is>
      </c>
      <c r="E9" t="inlineStr">
        <is>
          <t>71-8684</t>
        </is>
      </c>
      <c r="F9" t="inlineStr">
        <is>
          <t>71-8684 นิพล  หัวลาก 6W</t>
        </is>
      </c>
      <c r="G9" t="inlineStr">
        <is>
          <t>4.1</t>
        </is>
      </c>
      <c r="H9" t="inlineStr">
        <is>
          <t>4.1</t>
        </is>
      </c>
      <c r="I9" t="inlineStr">
        <is>
          <t>2026-04-10 11:24:59</t>
        </is>
      </c>
      <c r="J9" t="inlineStr">
        <is>
          <t>2026-04-10 17:39:16</t>
        </is>
      </c>
      <c r="K9" t="n">
        <v>6.24</v>
      </c>
      <c r="L9" t="inlineStr">
        <is>
          <t>2026-04-10 20:53:27</t>
        </is>
      </c>
      <c r="M9" t="inlineStr">
        <is>
          <t>2026-04-10 23:39:18</t>
        </is>
      </c>
      <c r="N9" t="n">
        <v>3.24</v>
      </c>
      <c r="O9" t="n">
        <v>2.76</v>
      </c>
      <c r="P9" t="n">
        <v>12.24</v>
      </c>
      <c r="R9" t="n">
        <v>1</v>
      </c>
      <c r="S9">
        <f>MAX(0,K9-Billing_Inputs!$B$6)</f>
        <v/>
      </c>
      <c r="T9">
        <f>MAX(0,O9-Billing_Inputs!$B$7)</f>
        <v/>
      </c>
    </row>
    <row r="10">
      <c r="A10" t="inlineStr">
        <is>
          <t>2026-04-10</t>
        </is>
      </c>
      <c r="B10" t="inlineStr">
        <is>
          <t>2026-04-10</t>
        </is>
      </c>
      <c r="C10" t="inlineStr">
        <is>
          <t>2026-04-10</t>
        </is>
      </c>
      <c r="D10" t="inlineStr">
        <is>
          <t>BigC</t>
        </is>
      </c>
      <c r="E10" t="inlineStr">
        <is>
          <t>71-8001</t>
        </is>
      </c>
      <c r="F10" t="inlineStr">
        <is>
          <t>71-8001 ธนวัฒน์ หัวลาก10W</t>
        </is>
      </c>
      <c r="G10" t="inlineStr">
        <is>
          <t>2.4</t>
        </is>
      </c>
      <c r="H10" t="inlineStr">
        <is>
          <t>2.4</t>
        </is>
      </c>
      <c r="I10" t="inlineStr">
        <is>
          <t>2026-04-10 16:06:07</t>
        </is>
      </c>
      <c r="J10" t="inlineStr">
        <is>
          <t>2026-04-10 21:45:46</t>
        </is>
      </c>
      <c r="K10" t="n">
        <v>5.66</v>
      </c>
      <c r="L10" t="inlineStr">
        <is>
          <t>2026-04-10 23:43:45</t>
        </is>
      </c>
      <c r="M10" t="inlineStr">
        <is>
          <t>2026-04-11 06:13:15</t>
        </is>
      </c>
      <c r="N10" t="n">
        <v>1.97</v>
      </c>
      <c r="O10" t="n">
        <v>6.49</v>
      </c>
      <c r="P10" t="n">
        <v>14.12</v>
      </c>
      <c r="R10" t="n">
        <v>1</v>
      </c>
      <c r="S10">
        <f>MAX(0,K10-Billing_Inputs!$B$6)</f>
        <v/>
      </c>
      <c r="T10">
        <f>MAX(0,O10-Billing_Inputs!$B$7)</f>
        <v/>
      </c>
    </row>
    <row r="11">
      <c r="A11" t="inlineStr">
        <is>
          <t>2026-04-10</t>
        </is>
      </c>
      <c r="B11" t="inlineStr">
        <is>
          <t>2026-04-10</t>
        </is>
      </c>
      <c r="C11" t="inlineStr">
        <is>
          <t>2026-04-11</t>
        </is>
      </c>
      <c r="D11" t="inlineStr">
        <is>
          <t>BigC</t>
        </is>
      </c>
      <c r="E11" t="inlineStr">
        <is>
          <t>71-8003</t>
        </is>
      </c>
      <c r="F11" t="inlineStr">
        <is>
          <t>71-8003 เกศศักดิ์ หัวลาก10W</t>
        </is>
      </c>
      <c r="G11" t="inlineStr">
        <is>
          <t>3.2</t>
        </is>
      </c>
      <c r="H11" t="inlineStr">
        <is>
          <t>3.2</t>
        </is>
      </c>
      <c r="I11" t="inlineStr">
        <is>
          <t>2026-04-10 16:16:42</t>
        </is>
      </c>
      <c r="J11" t="inlineStr">
        <is>
          <t>2026-04-11 03:03:35</t>
        </is>
      </c>
      <c r="K11" t="n">
        <v>10.78</v>
      </c>
      <c r="L11" t="inlineStr">
        <is>
          <t>2026-04-11 05:39:33</t>
        </is>
      </c>
      <c r="M11" t="inlineStr">
        <is>
          <t>2026-04-11 09:10:43</t>
        </is>
      </c>
      <c r="N11" t="n">
        <v>2.6</v>
      </c>
      <c r="O11" t="n">
        <v>3.52</v>
      </c>
      <c r="P11" t="n">
        <v>16.9</v>
      </c>
      <c r="R11" t="n">
        <v>1</v>
      </c>
      <c r="S11">
        <f>MAX(0,K11-Billing_Inputs!$B$6)</f>
        <v/>
      </c>
      <c r="T11">
        <f>MAX(0,O11-Billing_Inputs!$B$7)</f>
        <v/>
      </c>
    </row>
    <row r="12">
      <c r="A12" t="inlineStr">
        <is>
          <t>2026-04-10</t>
        </is>
      </c>
      <c r="B12" t="inlineStr">
        <is>
          <t>2026-04-10</t>
        </is>
      </c>
      <c r="C12" t="inlineStr">
        <is>
          <t>2026-04-11</t>
        </is>
      </c>
      <c r="D12" t="inlineStr">
        <is>
          <t>BigC</t>
        </is>
      </c>
      <c r="E12" t="inlineStr">
        <is>
          <t>71-8002</t>
        </is>
      </c>
      <c r="F12" t="inlineStr">
        <is>
          <t>71-8002 สมประสงค์ หัวลาก10W</t>
        </is>
      </c>
      <c r="G12" t="inlineStr">
        <is>
          <t>1.4</t>
        </is>
      </c>
      <c r="H12" t="inlineStr">
        <is>
          <t>1.4</t>
        </is>
      </c>
      <c r="I12" t="inlineStr">
        <is>
          <t>2026-04-10 19:04:20</t>
        </is>
      </c>
      <c r="J12" t="inlineStr">
        <is>
          <t>2026-04-11 07:06:52</t>
        </is>
      </c>
      <c r="K12" t="n">
        <v>12.04</v>
      </c>
      <c r="L12" t="inlineStr">
        <is>
          <t>2026-04-11 09:42:57</t>
        </is>
      </c>
      <c r="M12" t="inlineStr">
        <is>
          <t>2026-04-11 10:34:10</t>
        </is>
      </c>
      <c r="N12" t="n">
        <v>2.6</v>
      </c>
      <c r="O12" t="n">
        <v>0.85</v>
      </c>
      <c r="P12" t="n">
        <v>15.5</v>
      </c>
      <c r="R12" t="n">
        <v>1</v>
      </c>
      <c r="S12">
        <f>MAX(0,K12-Billing_Inputs!$B$6)</f>
        <v/>
      </c>
      <c r="T12">
        <f>MAX(0,O12-Billing_Inputs!$B$7)</f>
        <v/>
      </c>
    </row>
    <row r="13">
      <c r="A13" t="inlineStr">
        <is>
          <t>2026-04-10</t>
        </is>
      </c>
      <c r="B13" t="inlineStr">
        <is>
          <t>2026-04-10</t>
        </is>
      </c>
      <c r="C13" t="inlineStr">
        <is>
          <t>2026-04-11</t>
        </is>
      </c>
      <c r="D13" t="inlineStr">
        <is>
          <t>LCB</t>
        </is>
      </c>
      <c r="E13" t="inlineStr">
        <is>
          <t>71-8683</t>
        </is>
      </c>
      <c r="F13" t="inlineStr">
        <is>
          <t>71-8683 รัฐภูมิ  หัวลาก6W ​ชะอม</t>
        </is>
      </c>
      <c r="G13" t="inlineStr">
        <is>
          <t>5.1</t>
        </is>
      </c>
      <c r="H13" t="inlineStr">
        <is>
          <t>5.1</t>
        </is>
      </c>
      <c r="I13" t="inlineStr">
        <is>
          <t>2026-04-10 19:32:14</t>
        </is>
      </c>
      <c r="J13" t="inlineStr">
        <is>
          <t>2026-04-11 07:58:18</t>
        </is>
      </c>
      <c r="K13" t="n">
        <v>12.43</v>
      </c>
      <c r="L13" t="inlineStr">
        <is>
          <t>2026-04-11 15:54:52</t>
        </is>
      </c>
      <c r="M13" t="inlineStr">
        <is>
          <t>2026-04-11 17:07:31</t>
        </is>
      </c>
      <c r="N13" t="n">
        <v>7.94</v>
      </c>
      <c r="O13" t="n">
        <v>1.21</v>
      </c>
      <c r="P13" t="n">
        <v>21.59</v>
      </c>
      <c r="R13" t="n">
        <v>1</v>
      </c>
      <c r="S13">
        <f>MAX(0,K13-Billing_Inputs!$B$6)</f>
        <v/>
      </c>
      <c r="T13">
        <f>MAX(0,O13-Billing_Inputs!$B$7)</f>
        <v/>
      </c>
    </row>
    <row r="14">
      <c r="A14" t="inlineStr">
        <is>
          <t>2026-04-10</t>
        </is>
      </c>
      <c r="B14" t="inlineStr">
        <is>
          <t>2026-04-10</t>
        </is>
      </c>
      <c r="C14" t="inlineStr">
        <is>
          <t>2026-04-11</t>
        </is>
      </c>
      <c r="D14" t="inlineStr">
        <is>
          <t>BigC</t>
        </is>
      </c>
      <c r="E14" t="inlineStr">
        <is>
          <t>71-5041</t>
        </is>
      </c>
      <c r="F14" t="inlineStr">
        <is>
          <t>71-5041 เกรียงไกร หัวลาก10W มะยม</t>
        </is>
      </c>
      <c r="G14" t="inlineStr">
        <is>
          <t>6.1</t>
        </is>
      </c>
      <c r="H14" t="inlineStr">
        <is>
          <t>6.1</t>
        </is>
      </c>
      <c r="I14" t="inlineStr">
        <is>
          <t>2026-04-10 21:27:07</t>
        </is>
      </c>
      <c r="J14" t="inlineStr">
        <is>
          <t>2026-04-11 15:02:11</t>
        </is>
      </c>
      <c r="K14" t="n">
        <v>17.58</v>
      </c>
      <c r="L14" t="inlineStr">
        <is>
          <t>2026-04-11 18:09:23</t>
        </is>
      </c>
      <c r="M14" t="inlineStr">
        <is>
          <t>2026-04-11 19:23:28</t>
        </is>
      </c>
      <c r="N14" t="n">
        <v>3.12</v>
      </c>
      <c r="O14" t="n">
        <v>1.23</v>
      </c>
      <c r="P14" t="n">
        <v>21.94</v>
      </c>
      <c r="R14" t="n">
        <v>1</v>
      </c>
      <c r="S14">
        <f>MAX(0,K14-Billing_Inputs!$B$6)</f>
        <v/>
      </c>
      <c r="T14">
        <f>MAX(0,O14-Billing_Inputs!$B$7)</f>
        <v/>
      </c>
    </row>
    <row r="15">
      <c r="A15" t="inlineStr">
        <is>
          <t>2026-04-11</t>
        </is>
      </c>
      <c r="B15" t="inlineStr">
        <is>
          <t>2026-04-11</t>
        </is>
      </c>
      <c r="C15" t="inlineStr">
        <is>
          <t>2026-04-11</t>
        </is>
      </c>
      <c r="D15" t="inlineStr">
        <is>
          <t>BigC</t>
        </is>
      </c>
      <c r="E15" t="inlineStr">
        <is>
          <t>71-8001</t>
        </is>
      </c>
      <c r="F15" t="inlineStr">
        <is>
          <t>71-8001 ธนวัฒน์ หัวลาก10W</t>
        </is>
      </c>
      <c r="G15" t="inlineStr">
        <is>
          <t>2.5</t>
        </is>
      </c>
      <c r="H15" t="inlineStr">
        <is>
          <t>2.5</t>
        </is>
      </c>
      <c r="I15" t="inlineStr">
        <is>
          <t>2026-04-11 08:05:10</t>
        </is>
      </c>
      <c r="J15" t="inlineStr">
        <is>
          <t>2026-04-11 16:42:09</t>
        </is>
      </c>
      <c r="K15" t="n">
        <v>8.619999999999999</v>
      </c>
      <c r="L15" t="inlineStr">
        <is>
          <t>2026-04-11 18:41:17</t>
        </is>
      </c>
      <c r="M15" t="inlineStr">
        <is>
          <t>2026-04-11 19:33:44</t>
        </is>
      </c>
      <c r="N15" t="n">
        <v>1.99</v>
      </c>
      <c r="O15" t="n">
        <v>0.87</v>
      </c>
      <c r="P15" t="n">
        <v>11.48</v>
      </c>
      <c r="R15" t="n">
        <v>1</v>
      </c>
      <c r="S15">
        <f>MAX(0,K15-Billing_Inputs!$B$6)</f>
        <v/>
      </c>
      <c r="T15">
        <f>MAX(0,O15-Billing_Inputs!$B$7)</f>
        <v/>
      </c>
    </row>
    <row r="16">
      <c r="A16" t="inlineStr">
        <is>
          <t>2026-04-11</t>
        </is>
      </c>
      <c r="B16" t="inlineStr">
        <is>
          <t>2026-04-11</t>
        </is>
      </c>
      <c r="C16" t="inlineStr">
        <is>
          <t>2026-04-12</t>
        </is>
      </c>
      <c r="D16" t="inlineStr">
        <is>
          <t>BigC</t>
        </is>
      </c>
      <c r="E16" t="inlineStr">
        <is>
          <t>71-8003</t>
        </is>
      </c>
      <c r="F16" t="inlineStr">
        <is>
          <t>71-8003 เกศศักดิ์ หัวลาก10W</t>
        </is>
      </c>
      <c r="G16" t="inlineStr">
        <is>
          <t>3.3</t>
        </is>
      </c>
      <c r="H16" t="inlineStr">
        <is>
          <t>3.3</t>
        </is>
      </c>
      <c r="I16" t="inlineStr">
        <is>
          <t>2026-04-11 11:51:49</t>
        </is>
      </c>
      <c r="J16" t="inlineStr">
        <is>
          <t>2026-04-12 02:44:46</t>
        </is>
      </c>
      <c r="K16" t="n">
        <v>14.88</v>
      </c>
      <c r="L16" t="inlineStr">
        <is>
          <t>2026-04-12 05:35:03</t>
        </is>
      </c>
      <c r="M16" t="inlineStr">
        <is>
          <t>2026-04-12 09:58:58</t>
        </is>
      </c>
      <c r="N16" t="n">
        <v>2.84</v>
      </c>
      <c r="O16" t="n">
        <v>4.4</v>
      </c>
      <c r="P16" t="n">
        <v>22.12</v>
      </c>
      <c r="R16" t="n">
        <v>1</v>
      </c>
      <c r="S16">
        <f>MAX(0,K16-Billing_Inputs!$B$6)</f>
        <v/>
      </c>
      <c r="T16">
        <f>MAX(0,O16-Billing_Inputs!$B$7)</f>
        <v/>
      </c>
    </row>
    <row r="17">
      <c r="A17" t="inlineStr">
        <is>
          <t>2026-04-11</t>
        </is>
      </c>
      <c r="B17" t="inlineStr">
        <is>
          <t>2026-04-11</t>
        </is>
      </c>
      <c r="C17" t="inlineStr">
        <is>
          <t>2026-04-12</t>
        </is>
      </c>
      <c r="D17" t="inlineStr">
        <is>
          <t>BigC</t>
        </is>
      </c>
      <c r="E17" t="inlineStr">
        <is>
          <t>71-8002</t>
        </is>
      </c>
      <c r="F17" t="inlineStr">
        <is>
          <t>71-8002 สมประสงค์ หัวลาก10W</t>
        </is>
      </c>
      <c r="G17" t="inlineStr">
        <is>
          <t>1.5</t>
        </is>
      </c>
      <c r="H17" t="inlineStr">
        <is>
          <t>1.5</t>
        </is>
      </c>
      <c r="I17" t="inlineStr">
        <is>
          <t>2026-04-11 12:19:53</t>
        </is>
      </c>
      <c r="J17" t="inlineStr">
        <is>
          <t>2026-04-12 06:52:26</t>
        </is>
      </c>
      <c r="K17" t="n">
        <v>18.54</v>
      </c>
      <c r="L17" t="inlineStr">
        <is>
          <t>2026-04-12 09:10:09</t>
        </is>
      </c>
      <c r="M17" t="inlineStr">
        <is>
          <t>2026-04-12 09:55:26</t>
        </is>
      </c>
      <c r="N17" t="n">
        <v>2.3</v>
      </c>
      <c r="O17" t="n">
        <v>0.75</v>
      </c>
      <c r="P17" t="n">
        <v>21.59</v>
      </c>
      <c r="R17" t="n">
        <v>1</v>
      </c>
      <c r="S17">
        <f>MAX(0,K17-Billing_Inputs!$B$6)</f>
        <v/>
      </c>
      <c r="T17">
        <f>MAX(0,O17-Billing_Inputs!$B$7)</f>
        <v/>
      </c>
    </row>
    <row r="18">
      <c r="A18" t="inlineStr">
        <is>
          <t>2026-04-11</t>
        </is>
      </c>
      <c r="B18" t="inlineStr">
        <is>
          <t>2026-04-11</t>
        </is>
      </c>
      <c r="C18" t="inlineStr">
        <is>
          <t>2026-04-12</t>
        </is>
      </c>
      <c r="D18" t="inlineStr">
        <is>
          <t>BigC</t>
        </is>
      </c>
      <c r="E18" t="inlineStr">
        <is>
          <t>71-5041</t>
        </is>
      </c>
      <c r="F18" t="inlineStr">
        <is>
          <t>71-5041 เกรียงไกร หัวลาก10W มะยม</t>
        </is>
      </c>
      <c r="G18" t="inlineStr">
        <is>
          <t>6.2</t>
        </is>
      </c>
      <c r="H18" t="inlineStr">
        <is>
          <t>6.2</t>
        </is>
      </c>
      <c r="I18" t="inlineStr">
        <is>
          <t>2026-04-11 21:45:36</t>
        </is>
      </c>
      <c r="J18" t="inlineStr">
        <is>
          <t>2026-04-12 08:00:07</t>
        </is>
      </c>
      <c r="K18" t="n">
        <v>10.24</v>
      </c>
      <c r="L18" t="inlineStr">
        <is>
          <t>2026-04-12 10:05:07</t>
        </is>
      </c>
      <c r="M18" t="inlineStr">
        <is>
          <t>2026-04-12 10:59:48</t>
        </is>
      </c>
      <c r="N18" t="n">
        <v>2.08</v>
      </c>
      <c r="O18" t="n">
        <v>0.91</v>
      </c>
      <c r="P18" t="n">
        <v>13.24</v>
      </c>
      <c r="R18" t="n">
        <v>1</v>
      </c>
      <c r="S18">
        <f>MAX(0,K18-Billing_Inputs!$B$6)</f>
        <v/>
      </c>
      <c r="T18">
        <f>MAX(0,O18-Billing_Inputs!$B$7)</f>
        <v/>
      </c>
    </row>
    <row r="19">
      <c r="A19" t="inlineStr">
        <is>
          <t>2026-04-11</t>
        </is>
      </c>
      <c r="B19" t="inlineStr">
        <is>
          <t>2026-04-11</t>
        </is>
      </c>
      <c r="C19" t="inlineStr">
        <is>
          <t>2026-04-12</t>
        </is>
      </c>
      <c r="D19" t="inlineStr">
        <is>
          <t>BigC</t>
        </is>
      </c>
      <c r="E19" t="inlineStr">
        <is>
          <t>71-8001</t>
        </is>
      </c>
      <c r="F19" t="inlineStr">
        <is>
          <t>71-8001 ธนวัฒน์ หัวลาก10W</t>
        </is>
      </c>
      <c r="G19" t="inlineStr">
        <is>
          <t>2.6</t>
        </is>
      </c>
      <c r="H19" t="inlineStr">
        <is>
          <t>2.6</t>
        </is>
      </c>
      <c r="I19" t="inlineStr">
        <is>
          <t>2026-04-11 22:01:58</t>
        </is>
      </c>
      <c r="J19" t="inlineStr">
        <is>
          <t>2026-04-12 09:59:49</t>
        </is>
      </c>
      <c r="K19" t="n">
        <v>11.96</v>
      </c>
      <c r="L19" t="inlineStr">
        <is>
          <t>2026-04-12 12:29:16</t>
        </is>
      </c>
      <c r="M19" t="inlineStr">
        <is>
          <t>2026-04-12 13:36:49</t>
        </is>
      </c>
      <c r="N19" t="n">
        <v>2.49</v>
      </c>
      <c r="O19" t="n">
        <v>1.13</v>
      </c>
      <c r="P19" t="n">
        <v>15.58</v>
      </c>
      <c r="R19" t="n">
        <v>1</v>
      </c>
      <c r="S19">
        <f>MAX(0,K19-Billing_Inputs!$B$6)</f>
        <v/>
      </c>
      <c r="T19">
        <f>MAX(0,O19-Billing_Inputs!$B$7)</f>
        <v/>
      </c>
    </row>
    <row r="20">
      <c r="A20" t="inlineStr">
        <is>
          <t>2026-04-12</t>
        </is>
      </c>
      <c r="B20" t="inlineStr">
        <is>
          <t>2026-04-12</t>
        </is>
      </c>
      <c r="C20" t="inlineStr">
        <is>
          <t>2026-04-12</t>
        </is>
      </c>
      <c r="D20" t="inlineStr">
        <is>
          <t>LCB</t>
        </is>
      </c>
      <c r="E20" t="inlineStr">
        <is>
          <t>71-8684</t>
        </is>
      </c>
      <c r="F20" t="inlineStr">
        <is>
          <t>71-8684 นิพล  หัวลาก 6W</t>
        </is>
      </c>
      <c r="G20" t="inlineStr">
        <is>
          <t>4.2</t>
        </is>
      </c>
      <c r="H20" t="inlineStr">
        <is>
          <t>4.2</t>
        </is>
      </c>
      <c r="I20" t="inlineStr">
        <is>
          <t>2026-04-12 09:13:35</t>
        </is>
      </c>
      <c r="J20" t="inlineStr">
        <is>
          <t>2026-04-12 11:43:44</t>
        </is>
      </c>
      <c r="K20" t="n">
        <v>2.5</v>
      </c>
      <c r="L20" t="inlineStr">
        <is>
          <t>2026-04-12 13:59:51</t>
        </is>
      </c>
      <c r="M20" t="inlineStr">
        <is>
          <t>2026-04-12 14:49:50</t>
        </is>
      </c>
      <c r="N20" t="n">
        <v>2.27</v>
      </c>
      <c r="O20" t="n">
        <v>0.83</v>
      </c>
      <c r="P20" t="n">
        <v>5.6</v>
      </c>
      <c r="R20" t="n">
        <v>1</v>
      </c>
      <c r="S20">
        <f>MAX(0,K20-Billing_Inputs!$B$6)</f>
        <v/>
      </c>
      <c r="T20">
        <f>MAX(0,O20-Billing_Inputs!$B$7)</f>
        <v/>
      </c>
    </row>
    <row r="21">
      <c r="A21" t="inlineStr">
        <is>
          <t>2026-04-12</t>
        </is>
      </c>
      <c r="B21" t="inlineStr">
        <is>
          <t>2026-04-12</t>
        </is>
      </c>
      <c r="C21" t="inlineStr">
        <is>
          <t>2026-04-12</t>
        </is>
      </c>
      <c r="D21" t="inlineStr">
        <is>
          <t>BigC</t>
        </is>
      </c>
      <c r="E21" t="inlineStr">
        <is>
          <t>71-5041</t>
        </is>
      </c>
      <c r="F21" t="inlineStr">
        <is>
          <t>71-5041 เกรียงไกร หัวลาก10W มะยม</t>
        </is>
      </c>
      <c r="G21" t="inlineStr">
        <is>
          <t>6.3</t>
        </is>
      </c>
      <c r="H21" t="inlineStr">
        <is>
          <t>6.3</t>
        </is>
      </c>
      <c r="I21" t="inlineStr">
        <is>
          <t>2026-04-12 13:27:51</t>
        </is>
      </c>
      <c r="J21" t="inlineStr">
        <is>
          <t>2026-04-12 16:42:55</t>
        </is>
      </c>
      <c r="K21" t="n">
        <v>3.25</v>
      </c>
      <c r="L21" t="inlineStr">
        <is>
          <t>2026-04-12 18:58:20</t>
        </is>
      </c>
      <c r="M21" t="inlineStr">
        <is>
          <t>2026-04-12 21:04:39</t>
        </is>
      </c>
      <c r="N21" t="n">
        <v>2.26</v>
      </c>
      <c r="O21" t="n">
        <v>2.11</v>
      </c>
      <c r="P21" t="n">
        <v>7.61</v>
      </c>
      <c r="R21" t="n">
        <v>1</v>
      </c>
      <c r="S21">
        <f>MAX(0,K21-Billing_Inputs!$B$6)</f>
        <v/>
      </c>
      <c r="T21">
        <f>MAX(0,O21-Billing_Inputs!$B$7)</f>
        <v/>
      </c>
    </row>
    <row r="22">
      <c r="A22" t="inlineStr">
        <is>
          <t>2026-04-12</t>
        </is>
      </c>
      <c r="B22" t="inlineStr">
        <is>
          <t>2026-04-12</t>
        </is>
      </c>
      <c r="C22" t="inlineStr">
        <is>
          <t>2026-04-13</t>
        </is>
      </c>
      <c r="D22" t="inlineStr">
        <is>
          <t>LCB</t>
        </is>
      </c>
      <c r="E22" t="inlineStr">
        <is>
          <t>72-1217</t>
        </is>
      </c>
      <c r="F22" t="inlineStr">
        <is>
          <t>72-1217 เนื้อ หัวลาก10W ตระไคร้</t>
        </is>
      </c>
      <c r="G22" t="inlineStr">
        <is>
          <t>7.1</t>
        </is>
      </c>
      <c r="H22" t="inlineStr">
        <is>
          <t>7.1</t>
        </is>
      </c>
      <c r="I22" t="inlineStr">
        <is>
          <t>2026-04-12 15:50:36</t>
        </is>
      </c>
      <c r="J22" t="inlineStr">
        <is>
          <t>2026-04-12 22:39:35</t>
        </is>
      </c>
      <c r="K22" t="n">
        <v>6.82</v>
      </c>
      <c r="L22" t="inlineStr">
        <is>
          <t>2026-04-13 01:20:25</t>
        </is>
      </c>
      <c r="M22" t="inlineStr">
        <is>
          <t>2026-04-13 02:03:25</t>
        </is>
      </c>
      <c r="N22" t="n">
        <v>2.68</v>
      </c>
      <c r="O22" t="n">
        <v>0.72</v>
      </c>
      <c r="P22" t="n">
        <v>10.21</v>
      </c>
      <c r="R22" t="n">
        <v>1</v>
      </c>
      <c r="S22">
        <f>MAX(0,K22-Billing_Inputs!$B$6)</f>
        <v/>
      </c>
      <c r="T22">
        <f>MAX(0,O22-Billing_Inputs!$B$7)</f>
        <v/>
      </c>
    </row>
    <row r="23">
      <c r="A23" t="inlineStr">
        <is>
          <t>2026-04-12</t>
        </is>
      </c>
      <c r="B23" t="inlineStr">
        <is>
          <t>2026-04-12</t>
        </is>
      </c>
      <c r="C23" t="inlineStr">
        <is>
          <t>2026-04-13</t>
        </is>
      </c>
      <c r="D23" t="inlineStr">
        <is>
          <t>LCB</t>
        </is>
      </c>
      <c r="E23" t="inlineStr">
        <is>
          <t>71-9629</t>
        </is>
      </c>
      <c r="F23" t="inlineStr">
        <is>
          <t>71-9629 พิชิต หัวลาก10W แมงลัก</t>
        </is>
      </c>
      <c r="G23" t="inlineStr">
        <is>
          <t>9.2</t>
        </is>
      </c>
      <c r="H23" t="inlineStr">
        <is>
          <t>8.1</t>
        </is>
      </c>
      <c r="I23" t="inlineStr">
        <is>
          <t>2026-04-12 22:00:24</t>
        </is>
      </c>
      <c r="J23" t="inlineStr">
        <is>
          <t>2026-04-13 03:29:09</t>
        </is>
      </c>
      <c r="K23" t="n">
        <v>5.48</v>
      </c>
      <c r="L23" t="inlineStr">
        <is>
          <t>2026-04-13 06:50:19</t>
        </is>
      </c>
      <c r="M23" t="inlineStr">
        <is>
          <t>2026-04-13 09:15:35</t>
        </is>
      </c>
      <c r="N23" t="n">
        <v>3.35</v>
      </c>
      <c r="O23" t="n">
        <v>2.42</v>
      </c>
      <c r="P23" t="n">
        <v>11.25</v>
      </c>
      <c r="R23" t="n">
        <v>1</v>
      </c>
      <c r="S23">
        <f>MAX(0,K23-Billing_Inputs!$B$6)</f>
        <v/>
      </c>
      <c r="T23">
        <f>MAX(0,O23-Billing_Inputs!$B$7)</f>
        <v/>
      </c>
    </row>
    <row r="24">
      <c r="A24" t="inlineStr">
        <is>
          <t>2026-04-12</t>
        </is>
      </c>
      <c r="B24" t="inlineStr">
        <is>
          <t>2026-04-12</t>
        </is>
      </c>
      <c r="C24" t="inlineStr">
        <is>
          <t>2026-04-13</t>
        </is>
      </c>
      <c r="D24" t="inlineStr">
        <is>
          <t>LCB</t>
        </is>
      </c>
      <c r="E24" t="inlineStr">
        <is>
          <t>71-8681</t>
        </is>
      </c>
      <c r="F24" t="inlineStr">
        <is>
          <t>71-8681 ว่าง หัวลาก10W อ้อย</t>
        </is>
      </c>
      <c r="G24" t="inlineStr">
        <is>
          <t>8.1</t>
        </is>
      </c>
      <c r="H24" t="inlineStr">
        <is>
          <t>9.1</t>
        </is>
      </c>
      <c r="I24" t="inlineStr">
        <is>
          <t>2026-04-12 17:07:12</t>
        </is>
      </c>
      <c r="J24" t="inlineStr">
        <is>
          <t>2026-04-13 01:03:07</t>
        </is>
      </c>
      <c r="K24" t="n">
        <v>7.93</v>
      </c>
      <c r="L24" t="inlineStr">
        <is>
          <t>2026-04-13 08:50:39</t>
        </is>
      </c>
      <c r="M24" t="inlineStr">
        <is>
          <t>2026-04-13 09:59:38</t>
        </is>
      </c>
      <c r="N24" t="n">
        <v>7.79</v>
      </c>
      <c r="O24" t="n">
        <v>1.15</v>
      </c>
      <c r="P24" t="n">
        <v>16.87</v>
      </c>
      <c r="R24" t="n">
        <v>1</v>
      </c>
      <c r="S24">
        <f>MAX(0,K24-Billing_Inputs!$B$6)</f>
        <v/>
      </c>
      <c r="T24">
        <f>MAX(0,O24-Billing_Inputs!$B$7)</f>
        <v/>
      </c>
    </row>
    <row r="25">
      <c r="A25" t="inlineStr">
        <is>
          <t>2026-04-13</t>
        </is>
      </c>
      <c r="B25" t="inlineStr">
        <is>
          <t>2026-04-13</t>
        </is>
      </c>
      <c r="C25" t="inlineStr">
        <is>
          <t>2026-04-13</t>
        </is>
      </c>
      <c r="D25" t="inlineStr">
        <is>
          <t>LCB</t>
        </is>
      </c>
      <c r="E25" t="inlineStr">
        <is>
          <t>71-6802</t>
        </is>
      </c>
      <c r="F25" t="inlineStr">
        <is>
          <t>71-6802 วิชาญ หัวลาก10W</t>
        </is>
      </c>
      <c r="G25" t="inlineStr">
        <is>
          <t>10.1</t>
        </is>
      </c>
      <c r="H25" t="inlineStr">
        <is>
          <t>10.1</t>
        </is>
      </c>
      <c r="I25" t="inlineStr">
        <is>
          <t>2026-04-13 06:31:42</t>
        </is>
      </c>
      <c r="J25" t="inlineStr">
        <is>
          <t>2026-04-13 08:29:25</t>
        </is>
      </c>
      <c r="K25" t="n">
        <v>1.96</v>
      </c>
      <c r="L25" t="inlineStr">
        <is>
          <t>2026-04-13 11:06:50</t>
        </is>
      </c>
      <c r="M25" t="inlineStr">
        <is>
          <t>2026-04-13 11:44:28</t>
        </is>
      </c>
      <c r="N25" t="n">
        <v>2.62</v>
      </c>
      <c r="O25" t="n">
        <v>0.63</v>
      </c>
      <c r="P25" t="n">
        <v>5.21</v>
      </c>
      <c r="R25" t="n">
        <v>1</v>
      </c>
      <c r="S25">
        <f>MAX(0,K25-Billing_Inputs!$B$6)</f>
        <v/>
      </c>
      <c r="T25">
        <f>MAX(0,O25-Billing_Inputs!$B$7)</f>
        <v/>
      </c>
    </row>
    <row r="26">
      <c r="A26" t="inlineStr">
        <is>
          <t>2026-04-12</t>
        </is>
      </c>
      <c r="B26" t="inlineStr">
        <is>
          <t>2026-04-12</t>
        </is>
      </c>
      <c r="C26" t="inlineStr">
        <is>
          <t>2026-04-13</t>
        </is>
      </c>
      <c r="D26" t="inlineStr">
        <is>
          <t>BigC</t>
        </is>
      </c>
      <c r="E26" t="inlineStr">
        <is>
          <t>71-5041</t>
        </is>
      </c>
      <c r="F26" t="inlineStr">
        <is>
          <t>71-5041 เกรียงไกร หัวลาก10W มะยม</t>
        </is>
      </c>
      <c r="G26" t="inlineStr">
        <is>
          <t>6.4</t>
        </is>
      </c>
      <c r="H26" t="inlineStr">
        <is>
          <t>6.4</t>
        </is>
      </c>
      <c r="I26" t="inlineStr">
        <is>
          <t>2026-04-12 23:02:39</t>
        </is>
      </c>
      <c r="J26" t="inlineStr">
        <is>
          <t>2026-04-13 05:32:15</t>
        </is>
      </c>
      <c r="K26" t="n">
        <v>6.49</v>
      </c>
      <c r="L26" t="inlineStr">
        <is>
          <t>2026-04-13 11:21:53</t>
        </is>
      </c>
      <c r="M26" t="inlineStr">
        <is>
          <t>2026-04-13 11:53:43</t>
        </is>
      </c>
      <c r="N26" t="n">
        <v>5.83</v>
      </c>
      <c r="O26" t="n">
        <v>0.53</v>
      </c>
      <c r="P26" t="n">
        <v>12.85</v>
      </c>
      <c r="R26" t="n">
        <v>1</v>
      </c>
      <c r="S26">
        <f>MAX(0,K26-Billing_Inputs!$B$6)</f>
        <v/>
      </c>
      <c r="T26">
        <f>MAX(0,O26-Billing_Inputs!$B$7)</f>
        <v/>
      </c>
    </row>
    <row r="27">
      <c r="A27" t="inlineStr">
        <is>
          <t>2026-04-13</t>
        </is>
      </c>
      <c r="B27" t="inlineStr">
        <is>
          <t>2026-04-13</t>
        </is>
      </c>
      <c r="C27" t="inlineStr">
        <is>
          <t>2026-04-13</t>
        </is>
      </c>
      <c r="D27" t="inlineStr">
        <is>
          <t>LCB</t>
        </is>
      </c>
      <c r="E27" t="inlineStr">
        <is>
          <t>72-1217</t>
        </is>
      </c>
      <c r="F27" t="inlineStr">
        <is>
          <t>72-1217 เนื้อ หัวลาก10W ตระไคร้</t>
        </is>
      </c>
      <c r="G27" t="inlineStr">
        <is>
          <t>7.2</t>
        </is>
      </c>
      <c r="H27" t="inlineStr">
        <is>
          <t>7.2</t>
        </is>
      </c>
      <c r="I27" t="inlineStr">
        <is>
          <t>2026-04-13 08:46:45</t>
        </is>
      </c>
      <c r="J27" t="inlineStr">
        <is>
          <t>2026-04-13 11:22:37</t>
        </is>
      </c>
      <c r="K27" t="n">
        <v>2.6</v>
      </c>
      <c r="L27" t="inlineStr">
        <is>
          <t>2026-04-13 13:53:46</t>
        </is>
      </c>
      <c r="M27" t="inlineStr">
        <is>
          <t>2026-04-13 14:41:00</t>
        </is>
      </c>
      <c r="N27" t="n">
        <v>2.52</v>
      </c>
      <c r="O27" t="n">
        <v>0.79</v>
      </c>
      <c r="P27" t="n">
        <v>5.9</v>
      </c>
      <c r="R27" t="n">
        <v>1</v>
      </c>
      <c r="S27">
        <f>MAX(0,K27-Billing_Inputs!$B$6)</f>
        <v/>
      </c>
      <c r="T27">
        <f>MAX(0,O27-Billing_Inputs!$B$7)</f>
        <v/>
      </c>
    </row>
    <row r="28">
      <c r="A28" t="inlineStr">
        <is>
          <t>2026-04-13</t>
        </is>
      </c>
      <c r="B28" t="inlineStr">
        <is>
          <t>2026-04-13</t>
        </is>
      </c>
      <c r="C28" t="inlineStr">
        <is>
          <t>2026-04-13</t>
        </is>
      </c>
      <c r="D28" t="inlineStr">
        <is>
          <t>LCB</t>
        </is>
      </c>
      <c r="E28" t="inlineStr">
        <is>
          <t>71-9629</t>
        </is>
      </c>
      <c r="F28" t="inlineStr">
        <is>
          <t>71-9629 พิชิต หัวลาก10W แมงลัก</t>
        </is>
      </c>
      <c r="G28" t="inlineStr">
        <is>
          <t>9.3</t>
        </is>
      </c>
      <c r="H28" t="inlineStr">
        <is>
          <t>8.2</t>
        </is>
      </c>
      <c r="I28" t="inlineStr">
        <is>
          <t>2026-04-13 11:51:56</t>
        </is>
      </c>
      <c r="J28" t="inlineStr">
        <is>
          <t>2026-04-13 14:53:26</t>
        </is>
      </c>
      <c r="K28" t="n">
        <v>3.02</v>
      </c>
      <c r="L28" t="inlineStr">
        <is>
          <t>2026-04-13 17:01:53</t>
        </is>
      </c>
      <c r="M28" t="inlineStr">
        <is>
          <t>2026-04-13 17:57:32</t>
        </is>
      </c>
      <c r="N28" t="n">
        <v>2.14</v>
      </c>
      <c r="O28" t="n">
        <v>0.93</v>
      </c>
      <c r="P28" t="n">
        <v>6.09</v>
      </c>
      <c r="R28" t="n">
        <v>1</v>
      </c>
      <c r="S28">
        <f>MAX(0,K28-Billing_Inputs!$B$6)</f>
        <v/>
      </c>
      <c r="T28">
        <f>MAX(0,O28-Billing_Inputs!$B$7)</f>
        <v/>
      </c>
    </row>
    <row r="29">
      <c r="A29" t="inlineStr">
        <is>
          <t>2026-04-13</t>
        </is>
      </c>
      <c r="B29" t="inlineStr">
        <is>
          <t>2026-04-13</t>
        </is>
      </c>
      <c r="C29" t="inlineStr">
        <is>
          <t>2026-04-13</t>
        </is>
      </c>
      <c r="D29" t="inlineStr">
        <is>
          <t>LCB</t>
        </is>
      </c>
      <c r="E29" t="inlineStr">
        <is>
          <t>71-6802</t>
        </is>
      </c>
      <c r="F29" t="inlineStr">
        <is>
          <t>71-6802 วิชาญ หัวลาก10W</t>
        </is>
      </c>
      <c r="G29" t="inlineStr">
        <is>
          <t>10.3</t>
        </is>
      </c>
      <c r="H29" t="inlineStr">
        <is>
          <t>10.2</t>
        </is>
      </c>
      <c r="I29" t="inlineStr">
        <is>
          <t>2026-04-13 14:25:23</t>
        </is>
      </c>
      <c r="J29" t="inlineStr">
        <is>
          <t>2026-04-13 16:54:36</t>
        </is>
      </c>
      <c r="K29" t="n">
        <v>2.49</v>
      </c>
      <c r="L29" t="inlineStr">
        <is>
          <t>2026-04-13 18:46:36</t>
        </is>
      </c>
      <c r="M29" t="inlineStr">
        <is>
          <t>2026-04-13 19:19:35</t>
        </is>
      </c>
      <c r="N29" t="n">
        <v>1.87</v>
      </c>
      <c r="O29" t="n">
        <v>0.55</v>
      </c>
      <c r="P29" t="n">
        <v>4.9</v>
      </c>
      <c r="R29" t="n">
        <v>1</v>
      </c>
      <c r="S29">
        <f>MAX(0,K29-Billing_Inputs!$B$6)</f>
        <v/>
      </c>
      <c r="T29">
        <f>MAX(0,O29-Billing_Inputs!$B$7)</f>
        <v/>
      </c>
    </row>
    <row r="30">
      <c r="A30" t="inlineStr">
        <is>
          <t>2026-04-13</t>
        </is>
      </c>
      <c r="B30" t="inlineStr">
        <is>
          <t>2026-04-13</t>
        </is>
      </c>
      <c r="C30" t="inlineStr">
        <is>
          <t>2026-04-13</t>
        </is>
      </c>
      <c r="D30" t="inlineStr">
        <is>
          <t>BigC</t>
        </is>
      </c>
      <c r="E30" t="inlineStr">
        <is>
          <t>71-5041</t>
        </is>
      </c>
      <c r="F30" t="inlineStr">
        <is>
          <t>71-5041 เกรียงไกร หัวลาก10W มะยม</t>
        </is>
      </c>
      <c r="G30" t="inlineStr">
        <is>
          <t>6.5</t>
        </is>
      </c>
      <c r="H30" t="inlineStr">
        <is>
          <t>6.5</t>
        </is>
      </c>
      <c r="I30" t="inlineStr">
        <is>
          <t>2026-04-13 14:10:01</t>
        </is>
      </c>
      <c r="J30" t="inlineStr">
        <is>
          <t>2026-04-13 19:11:46</t>
        </is>
      </c>
      <c r="K30" t="n">
        <v>5.03</v>
      </c>
      <c r="L30" t="inlineStr">
        <is>
          <t>2026-04-13 21:16:46</t>
        </is>
      </c>
      <c r="M30" t="inlineStr">
        <is>
          <t>2026-04-13 22:06:38</t>
        </is>
      </c>
      <c r="N30" t="n">
        <v>2.08</v>
      </c>
      <c r="O30" t="n">
        <v>0.83</v>
      </c>
      <c r="P30" t="n">
        <v>7.94</v>
      </c>
      <c r="R30" t="n">
        <v>1</v>
      </c>
      <c r="S30">
        <f>MAX(0,K30-Billing_Inputs!$B$6)</f>
        <v/>
      </c>
      <c r="T30">
        <f>MAX(0,O30-Billing_Inputs!$B$7)</f>
        <v/>
      </c>
    </row>
    <row r="31">
      <c r="A31" t="inlineStr">
        <is>
          <t>2026-04-13</t>
        </is>
      </c>
      <c r="B31" t="inlineStr">
        <is>
          <t>2026-04-13</t>
        </is>
      </c>
      <c r="C31" t="inlineStr">
        <is>
          <t>2026-04-13</t>
        </is>
      </c>
      <c r="D31" t="inlineStr">
        <is>
          <t>LCB</t>
        </is>
      </c>
      <c r="E31" t="inlineStr">
        <is>
          <t>72-1217</t>
        </is>
      </c>
      <c r="F31" t="inlineStr">
        <is>
          <t>72-1217 เนื้อ หัวลาก10W ตระไคร้</t>
        </is>
      </c>
      <c r="G31" t="inlineStr">
        <is>
          <t>7.3</t>
        </is>
      </c>
      <c r="H31" t="inlineStr">
        <is>
          <t>7.3</t>
        </is>
      </c>
      <c r="I31" t="inlineStr">
        <is>
          <t>2026-04-13 17:06:34</t>
        </is>
      </c>
      <c r="J31" t="inlineStr">
        <is>
          <t>2026-04-13 19:55:59</t>
        </is>
      </c>
      <c r="K31" t="n">
        <v>2.82</v>
      </c>
      <c r="L31" t="inlineStr">
        <is>
          <t>2026-04-13 21:43:21</t>
        </is>
      </c>
      <c r="M31" t="inlineStr">
        <is>
          <t>2026-04-13 22:28:18</t>
        </is>
      </c>
      <c r="N31" t="n">
        <v>1.79</v>
      </c>
      <c r="O31" t="n">
        <v>0.75</v>
      </c>
      <c r="P31" t="n">
        <v>5.36</v>
      </c>
      <c r="R31" t="n">
        <v>1</v>
      </c>
      <c r="S31">
        <f>MAX(0,K31-Billing_Inputs!$B$6)</f>
        <v/>
      </c>
      <c r="T31">
        <f>MAX(0,O31-Billing_Inputs!$B$7)</f>
        <v/>
      </c>
    </row>
    <row r="32">
      <c r="A32" t="inlineStr">
        <is>
          <t>2026-04-13</t>
        </is>
      </c>
      <c r="B32" t="inlineStr">
        <is>
          <t>2026-04-13</t>
        </is>
      </c>
      <c r="C32" t="inlineStr">
        <is>
          <t>2026-04-14</t>
        </is>
      </c>
      <c r="D32" t="inlineStr">
        <is>
          <t>LCB</t>
        </is>
      </c>
      <c r="E32" t="inlineStr">
        <is>
          <t>71-9629</t>
        </is>
      </c>
      <c r="F32" t="inlineStr">
        <is>
          <t>71-9629 พิชิต หัวลาก10W แมงลัก</t>
        </is>
      </c>
      <c r="G32" t="inlineStr">
        <is>
          <t>9.4</t>
        </is>
      </c>
      <c r="H32" t="inlineStr">
        <is>
          <t>8.3</t>
        </is>
      </c>
      <c r="I32" t="inlineStr">
        <is>
          <t>2026-04-13 19:27:10</t>
        </is>
      </c>
      <c r="J32" t="inlineStr">
        <is>
          <t>2026-04-14 00:59:53</t>
        </is>
      </c>
      <c r="K32" t="n">
        <v>5.55</v>
      </c>
      <c r="L32" t="inlineStr">
        <is>
          <t>2026-04-14 03:26:17</t>
        </is>
      </c>
      <c r="M32" t="inlineStr">
        <is>
          <t>2026-04-14 04:10:06</t>
        </is>
      </c>
      <c r="N32" t="n">
        <v>2.44</v>
      </c>
      <c r="O32" t="n">
        <v>0.73</v>
      </c>
      <c r="P32" t="n">
        <v>8.720000000000001</v>
      </c>
      <c r="R32" t="n">
        <v>1</v>
      </c>
      <c r="S32">
        <f>MAX(0,K32-Billing_Inputs!$B$6)</f>
        <v/>
      </c>
      <c r="T32">
        <f>MAX(0,O32-Billing_Inputs!$B$7)</f>
        <v/>
      </c>
    </row>
    <row r="33">
      <c r="A33" t="inlineStr">
        <is>
          <t>2026-04-13</t>
        </is>
      </c>
      <c r="B33" t="inlineStr">
        <is>
          <t>2026-04-13</t>
        </is>
      </c>
      <c r="C33" t="inlineStr">
        <is>
          <t>2026-04-14</t>
        </is>
      </c>
      <c r="D33" t="inlineStr">
        <is>
          <t>LCB</t>
        </is>
      </c>
      <c r="E33" t="inlineStr">
        <is>
          <t>71-6802</t>
        </is>
      </c>
      <c r="F33" t="inlineStr">
        <is>
          <t>71-6802 วิชาญ หัวลาก10W</t>
        </is>
      </c>
      <c r="G33" t="inlineStr">
        <is>
          <t>10.4</t>
        </is>
      </c>
      <c r="H33" t="inlineStr">
        <is>
          <t>10.3</t>
        </is>
      </c>
      <c r="I33" t="inlineStr">
        <is>
          <t>2026-04-13 21:38:41</t>
        </is>
      </c>
      <c r="J33" t="inlineStr">
        <is>
          <t>2026-04-14 07:11:56</t>
        </is>
      </c>
      <c r="K33" t="n">
        <v>9.550000000000001</v>
      </c>
      <c r="L33" t="inlineStr">
        <is>
          <t>2026-04-14 09:56:11</t>
        </is>
      </c>
      <c r="M33" t="inlineStr">
        <is>
          <t>2026-04-14 10:36:06</t>
        </is>
      </c>
      <c r="N33" t="n">
        <v>2.74</v>
      </c>
      <c r="O33" t="n">
        <v>0.67</v>
      </c>
      <c r="P33" t="n">
        <v>12.96</v>
      </c>
      <c r="R33" t="n">
        <v>1</v>
      </c>
      <c r="S33">
        <f>MAX(0,K33-Billing_Inputs!$B$6)</f>
        <v/>
      </c>
      <c r="T33">
        <f>MAX(0,O33-Billing_Inputs!$B$7)</f>
        <v/>
      </c>
    </row>
    <row r="34">
      <c r="A34" t="inlineStr">
        <is>
          <t>2026-04-14</t>
        </is>
      </c>
      <c r="B34" t="inlineStr">
        <is>
          <t>2026-04-14</t>
        </is>
      </c>
      <c r="C34" t="inlineStr">
        <is>
          <t>2026-04-14</t>
        </is>
      </c>
      <c r="D34" t="inlineStr">
        <is>
          <t>LCB</t>
        </is>
      </c>
      <c r="E34" t="inlineStr">
        <is>
          <t>72-1217</t>
        </is>
      </c>
      <c r="F34" t="inlineStr">
        <is>
          <t>72-1217 เนื้อ หัวลาก10W ตระไคร้</t>
        </is>
      </c>
      <c r="G34" t="inlineStr">
        <is>
          <t>7.4</t>
        </is>
      </c>
      <c r="H34" t="inlineStr">
        <is>
          <t>7.4</t>
        </is>
      </c>
      <c r="I34" t="inlineStr">
        <is>
          <t>2026-04-14 06:38:15</t>
        </is>
      </c>
      <c r="J34" t="inlineStr">
        <is>
          <t>2026-04-14 07:32:58</t>
        </is>
      </c>
      <c r="K34" t="n">
        <v>0.91</v>
      </c>
      <c r="L34" t="inlineStr">
        <is>
          <t>2026-04-14 11:23:00</t>
        </is>
      </c>
      <c r="M34" t="inlineStr">
        <is>
          <t>2026-04-14 12:01:18</t>
        </is>
      </c>
      <c r="N34" t="n">
        <v>3.83</v>
      </c>
      <c r="O34" t="n">
        <v>0.64</v>
      </c>
      <c r="P34" t="n">
        <v>5.38</v>
      </c>
      <c r="R34" t="n">
        <v>1</v>
      </c>
      <c r="S34">
        <f>MAX(0,K34-Billing_Inputs!$B$6)</f>
        <v/>
      </c>
      <c r="T34">
        <f>MAX(0,O34-Billing_Inputs!$B$7)</f>
        <v/>
      </c>
    </row>
    <row r="35">
      <c r="A35" t="inlineStr">
        <is>
          <t>2026-04-14</t>
        </is>
      </c>
      <c r="B35" t="inlineStr">
        <is>
          <t>2026-04-14</t>
        </is>
      </c>
      <c r="C35" t="inlineStr">
        <is>
          <t>2026-04-14</t>
        </is>
      </c>
      <c r="D35" t="inlineStr">
        <is>
          <t>LCB</t>
        </is>
      </c>
      <c r="E35" t="inlineStr">
        <is>
          <t>71-9629</t>
        </is>
      </c>
      <c r="F35" t="inlineStr">
        <is>
          <t>71-9629 พิชิต หัวลาก10W แมงลัก</t>
        </is>
      </c>
      <c r="G35" t="inlineStr">
        <is>
          <t>9.5</t>
        </is>
      </c>
      <c r="H35" t="inlineStr">
        <is>
          <t>8.4</t>
        </is>
      </c>
      <c r="I35" t="inlineStr">
        <is>
          <t>2026-04-14 07:23:50</t>
        </is>
      </c>
      <c r="J35" t="inlineStr">
        <is>
          <t>2026-04-14 09:46:28</t>
        </is>
      </c>
      <c r="K35" t="n">
        <v>2.38</v>
      </c>
      <c r="L35" t="inlineStr">
        <is>
          <t>2026-04-14 12:19:50</t>
        </is>
      </c>
      <c r="M35" t="inlineStr">
        <is>
          <t>2026-04-14 13:41:00</t>
        </is>
      </c>
      <c r="N35" t="n">
        <v>2.56</v>
      </c>
      <c r="O35" t="n">
        <v>1.35</v>
      </c>
      <c r="P35" t="n">
        <v>6.29</v>
      </c>
      <c r="R35" t="n">
        <v>1</v>
      </c>
      <c r="S35">
        <f>MAX(0,K35-Billing_Inputs!$B$6)</f>
        <v/>
      </c>
      <c r="T35">
        <f>MAX(0,O35-Billing_Inputs!$B$7)</f>
        <v/>
      </c>
    </row>
    <row r="36">
      <c r="A36" t="inlineStr">
        <is>
          <t>2026-04-14</t>
        </is>
      </c>
      <c r="B36" t="inlineStr">
        <is>
          <t>2026-04-14</t>
        </is>
      </c>
      <c r="C36" t="inlineStr">
        <is>
          <t>2026-04-14</t>
        </is>
      </c>
      <c r="D36" t="inlineStr">
        <is>
          <t>LCB</t>
        </is>
      </c>
      <c r="E36" t="inlineStr">
        <is>
          <t>72-1217</t>
        </is>
      </c>
      <c r="F36" t="inlineStr">
        <is>
          <t>72-1217 เนื้อ หัวลาก10W ตระไคร้</t>
        </is>
      </c>
      <c r="G36" t="inlineStr">
        <is>
          <t>7.5</t>
        </is>
      </c>
      <c r="H36" t="inlineStr">
        <is>
          <t>7.5</t>
        </is>
      </c>
      <c r="I36" t="inlineStr">
        <is>
          <t>2026-04-14 13:52:28</t>
        </is>
      </c>
      <c r="J36" t="inlineStr">
        <is>
          <t>2026-04-14 16:10:30</t>
        </is>
      </c>
      <c r="K36" t="n">
        <v>2.3</v>
      </c>
      <c r="L36" t="inlineStr">
        <is>
          <t>2026-04-14 17:58:09</t>
        </is>
      </c>
      <c r="M36" t="inlineStr">
        <is>
          <t>2026-04-14 18:47:03</t>
        </is>
      </c>
      <c r="N36" t="n">
        <v>1.79</v>
      </c>
      <c r="O36" t="n">
        <v>0.8100000000000001</v>
      </c>
      <c r="P36" t="n">
        <v>4.91</v>
      </c>
      <c r="R36" t="n">
        <v>1</v>
      </c>
      <c r="S36">
        <f>MAX(0,K36-Billing_Inputs!$B$6)</f>
        <v/>
      </c>
      <c r="T36">
        <f>MAX(0,O36-Billing_Inputs!$B$7)</f>
        <v/>
      </c>
    </row>
    <row r="37">
      <c r="A37" t="inlineStr">
        <is>
          <t>2026-04-14</t>
        </is>
      </c>
      <c r="B37" t="inlineStr">
        <is>
          <t>2026-04-14</t>
        </is>
      </c>
      <c r="C37" t="inlineStr">
        <is>
          <t>2026-04-14</t>
        </is>
      </c>
      <c r="D37" t="inlineStr">
        <is>
          <t>LCB</t>
        </is>
      </c>
      <c r="E37" t="inlineStr">
        <is>
          <t>71-9629</t>
        </is>
      </c>
      <c r="F37" t="inlineStr">
        <is>
          <t>71-9629 พิชิต หัวลาก10W แมงลัก</t>
        </is>
      </c>
      <c r="G37" t="inlineStr">
        <is>
          <t>9.6</t>
        </is>
      </c>
      <c r="H37" t="inlineStr">
        <is>
          <t>8.5</t>
        </is>
      </c>
      <c r="I37" t="inlineStr">
        <is>
          <t>2026-04-14 15:22:35</t>
        </is>
      </c>
      <c r="J37" t="inlineStr">
        <is>
          <t>2026-04-14 16:21:21</t>
        </is>
      </c>
      <c r="K37" t="n">
        <v>0.98</v>
      </c>
      <c r="L37" t="inlineStr">
        <is>
          <t>2026-04-14 20:51:14</t>
        </is>
      </c>
      <c r="M37" t="inlineStr">
        <is>
          <t>2026-04-14 22:12:22</t>
        </is>
      </c>
      <c r="N37" t="n">
        <v>4.5</v>
      </c>
      <c r="O37" t="n">
        <v>1.35</v>
      </c>
      <c r="P37" t="n">
        <v>6.83</v>
      </c>
      <c r="R37" t="n">
        <v>1</v>
      </c>
      <c r="S37">
        <f>MAX(0,K37-Billing_Inputs!$B$6)</f>
        <v/>
      </c>
      <c r="T37">
        <f>MAX(0,O37-Billing_Inputs!$B$7)</f>
        <v/>
      </c>
    </row>
    <row r="38">
      <c r="A38" t="inlineStr">
        <is>
          <t>2026-04-14</t>
        </is>
      </c>
      <c r="B38" t="inlineStr">
        <is>
          <t>2026-04-14</t>
        </is>
      </c>
      <c r="C38" t="inlineStr">
        <is>
          <t>2026-04-14</t>
        </is>
      </c>
      <c r="D38" t="inlineStr">
        <is>
          <t>LCB</t>
        </is>
      </c>
      <c r="E38" t="inlineStr">
        <is>
          <t>72-1220</t>
        </is>
      </c>
      <c r="F38" t="inlineStr">
        <is>
          <t>72-1220 ปกรณ์ หัวลาก10W ข่า</t>
        </is>
      </c>
      <c r="G38" t="inlineStr">
        <is>
          <t>11.1</t>
        </is>
      </c>
      <c r="H38" t="inlineStr">
        <is>
          <t>11.2</t>
        </is>
      </c>
      <c r="I38" t="inlineStr">
        <is>
          <t>2026-04-14 16:56:40</t>
        </is>
      </c>
      <c r="J38" t="inlineStr">
        <is>
          <t>2026-04-14 18:53:07</t>
        </is>
      </c>
      <c r="K38" t="n">
        <v>1.94</v>
      </c>
      <c r="L38" t="inlineStr">
        <is>
          <t>2026-04-14 21:33:38</t>
        </is>
      </c>
      <c r="M38" t="inlineStr">
        <is>
          <t>2026-04-14 22:25:07</t>
        </is>
      </c>
      <c r="N38" t="n">
        <v>2.68</v>
      </c>
      <c r="O38" t="n">
        <v>0.86</v>
      </c>
      <c r="P38" t="n">
        <v>5.47</v>
      </c>
      <c r="R38" t="n">
        <v>1</v>
      </c>
      <c r="S38">
        <f>MAX(0,K38-Billing_Inputs!$B$6)</f>
        <v/>
      </c>
      <c r="T38">
        <f>MAX(0,O38-Billing_Inputs!$B$7)</f>
        <v/>
      </c>
    </row>
    <row r="39">
      <c r="A39" t="inlineStr">
        <is>
          <t>2026-04-14</t>
        </is>
      </c>
      <c r="B39" t="inlineStr">
        <is>
          <t>2026-04-14</t>
        </is>
      </c>
      <c r="C39" t="inlineStr">
        <is>
          <t>2026-04-15</t>
        </is>
      </c>
      <c r="D39" t="inlineStr">
        <is>
          <t>LCB</t>
        </is>
      </c>
      <c r="E39" t="inlineStr">
        <is>
          <t>71-6802</t>
        </is>
      </c>
      <c r="F39" t="inlineStr">
        <is>
          <t>71-6802 วิชาญ หัวลาก10W</t>
        </is>
      </c>
      <c r="G39" t="inlineStr">
        <is>
          <t>10.5</t>
        </is>
      </c>
      <c r="H39" t="inlineStr">
        <is>
          <t>10.4</t>
        </is>
      </c>
      <c r="I39" t="inlineStr">
        <is>
          <t>2026-04-14 17:23:32</t>
        </is>
      </c>
      <c r="J39" t="inlineStr">
        <is>
          <t>2026-04-14 22:18:55</t>
        </is>
      </c>
      <c r="K39" t="n">
        <v>4.92</v>
      </c>
      <c r="L39" t="inlineStr">
        <is>
          <t>2026-04-15 00:14:22</t>
        </is>
      </c>
      <c r="M39" t="inlineStr">
        <is>
          <t>2026-04-15 01:42:51</t>
        </is>
      </c>
      <c r="N39" t="n">
        <v>1.92</v>
      </c>
      <c r="O39" t="n">
        <v>1.47</v>
      </c>
      <c r="P39" t="n">
        <v>8.32</v>
      </c>
      <c r="R39" t="n">
        <v>1</v>
      </c>
      <c r="S39">
        <f>MAX(0,K39-Billing_Inputs!$B$6)</f>
        <v/>
      </c>
      <c r="T39">
        <f>MAX(0,O39-Billing_Inputs!$B$7)</f>
        <v/>
      </c>
    </row>
    <row r="40">
      <c r="A40" t="inlineStr">
        <is>
          <t>2026-04-15</t>
        </is>
      </c>
      <c r="B40" t="inlineStr">
        <is>
          <t>2026-04-15</t>
        </is>
      </c>
      <c r="C40" t="inlineStr">
        <is>
          <t>2026-04-15</t>
        </is>
      </c>
      <c r="D40" t="inlineStr">
        <is>
          <t>LCB</t>
        </is>
      </c>
      <c r="E40" t="inlineStr">
        <is>
          <t>71-9629</t>
        </is>
      </c>
      <c r="F40" t="inlineStr">
        <is>
          <t>71-9629 พิชิต หัวลาก10W แมงลัก</t>
        </is>
      </c>
      <c r="G40" t="inlineStr">
        <is>
          <t>9.7</t>
        </is>
      </c>
      <c r="H40" t="inlineStr">
        <is>
          <t>8.6</t>
        </is>
      </c>
      <c r="I40" t="inlineStr">
        <is>
          <t>2026-04-15 00:12:52</t>
        </is>
      </c>
      <c r="J40" t="inlineStr">
        <is>
          <t>2026-04-15 03:21:43</t>
        </is>
      </c>
      <c r="K40" t="n">
        <v>3.15</v>
      </c>
      <c r="L40" t="inlineStr">
        <is>
          <t>2026-04-15 05:21:13</t>
        </is>
      </c>
      <c r="M40" t="inlineStr">
        <is>
          <t>2026-04-15 05:54:54</t>
        </is>
      </c>
      <c r="N40" t="n">
        <v>1.99</v>
      </c>
      <c r="O40" t="n">
        <v>0.5600000000000001</v>
      </c>
      <c r="P40" t="n">
        <v>5.7</v>
      </c>
      <c r="R40" t="n">
        <v>1</v>
      </c>
      <c r="S40">
        <f>MAX(0,K40-Billing_Inputs!$B$6)</f>
        <v/>
      </c>
      <c r="T40">
        <f>MAX(0,O40-Billing_Inputs!$B$7)</f>
        <v/>
      </c>
    </row>
    <row r="41">
      <c r="A41" t="inlineStr">
        <is>
          <t>2026-04-15</t>
        </is>
      </c>
      <c r="B41" t="inlineStr">
        <is>
          <t>2026-04-15</t>
        </is>
      </c>
      <c r="C41" t="inlineStr">
        <is>
          <t>2026-04-15</t>
        </is>
      </c>
      <c r="D41" t="inlineStr">
        <is>
          <t>LCB</t>
        </is>
      </c>
      <c r="E41" t="inlineStr">
        <is>
          <t>71-6802</t>
        </is>
      </c>
      <c r="F41" t="inlineStr">
        <is>
          <t>71-6802 วิชาญ หัวลาก10W</t>
        </is>
      </c>
      <c r="G41" t="inlineStr">
        <is>
          <t>10.6</t>
        </is>
      </c>
      <c r="H41" t="inlineStr">
        <is>
          <t>10.5</t>
        </is>
      </c>
      <c r="I41" t="inlineStr">
        <is>
          <t>2026-04-15 03:36:24</t>
        </is>
      </c>
      <c r="J41" t="inlineStr">
        <is>
          <t>2026-04-15 05:34:24</t>
        </is>
      </c>
      <c r="K41" t="n">
        <v>1.97</v>
      </c>
      <c r="L41" t="inlineStr">
        <is>
          <t>2026-04-15 08:11:54</t>
        </is>
      </c>
      <c r="M41" t="inlineStr">
        <is>
          <t>2026-04-15 08:50:18</t>
        </is>
      </c>
      <c r="N41" t="n">
        <v>2.62</v>
      </c>
      <c r="O41" t="n">
        <v>0.64</v>
      </c>
      <c r="P41" t="n">
        <v>5.23</v>
      </c>
      <c r="R41" t="n">
        <v>1</v>
      </c>
      <c r="S41">
        <f>MAX(0,K41-Billing_Inputs!$B$6)</f>
        <v/>
      </c>
      <c r="T41">
        <f>MAX(0,O41-Billing_Inputs!$B$7)</f>
        <v/>
      </c>
    </row>
    <row r="42">
      <c r="A42" t="inlineStr">
        <is>
          <t>2026-04-14</t>
        </is>
      </c>
      <c r="B42" t="inlineStr">
        <is>
          <t>2026-04-14</t>
        </is>
      </c>
      <c r="C42" t="inlineStr">
        <is>
          <t>2026-04-15</t>
        </is>
      </c>
      <c r="D42" t="inlineStr">
        <is>
          <t>LCB</t>
        </is>
      </c>
      <c r="E42" t="inlineStr">
        <is>
          <t>71-8681</t>
        </is>
      </c>
      <c r="F42" t="inlineStr">
        <is>
          <t>71-8681 ว่าง หัวลาก10W อ้อย</t>
        </is>
      </c>
      <c r="G42" t="inlineStr">
        <is>
          <t>8.3</t>
        </is>
      </c>
      <c r="H42" t="inlineStr">
        <is>
          <t>9.3</t>
        </is>
      </c>
      <c r="I42" t="inlineStr">
        <is>
          <t>2026-04-14 20:18:50</t>
        </is>
      </c>
      <c r="J42" t="inlineStr">
        <is>
          <t>2026-04-15 03:52:27</t>
        </is>
      </c>
      <c r="K42" t="n">
        <v>7.56</v>
      </c>
      <c r="L42" t="inlineStr">
        <is>
          <t>2026-04-15 09:07:01</t>
        </is>
      </c>
      <c r="M42" t="inlineStr">
        <is>
          <t>2026-04-15 09:57:37</t>
        </is>
      </c>
      <c r="N42" t="n">
        <v>5.24</v>
      </c>
      <c r="O42" t="n">
        <v>0.84</v>
      </c>
      <c r="P42" t="n">
        <v>13.65</v>
      </c>
      <c r="R42" t="n">
        <v>1</v>
      </c>
      <c r="S42">
        <f>MAX(0,K42-Billing_Inputs!$B$6)</f>
        <v/>
      </c>
      <c r="T42">
        <f>MAX(0,O42-Billing_Inputs!$B$7)</f>
        <v/>
      </c>
    </row>
    <row r="43">
      <c r="A43" t="inlineStr">
        <is>
          <t>2026-04-15</t>
        </is>
      </c>
      <c r="B43" t="inlineStr">
        <is>
          <t>2026-04-15</t>
        </is>
      </c>
      <c r="C43" t="inlineStr">
        <is>
          <t>2026-04-15</t>
        </is>
      </c>
      <c r="D43" t="inlineStr">
        <is>
          <t>LCB</t>
        </is>
      </c>
      <c r="E43" t="inlineStr">
        <is>
          <t>72-1217</t>
        </is>
      </c>
      <c r="F43" t="inlineStr">
        <is>
          <t>72-1217 เนื้อ หัวลาก10W ตระไคร้</t>
        </is>
      </c>
      <c r="G43" t="inlineStr">
        <is>
          <t>7.6</t>
        </is>
      </c>
      <c r="H43" t="inlineStr">
        <is>
          <t>7.6</t>
        </is>
      </c>
      <c r="I43" t="inlineStr">
        <is>
          <t>2026-04-15 06:59:12</t>
        </is>
      </c>
      <c r="J43" t="inlineStr">
        <is>
          <t>2026-04-15 07:44:26</t>
        </is>
      </c>
      <c r="K43" t="n">
        <v>0.75</v>
      </c>
      <c r="L43" t="inlineStr">
        <is>
          <t>2026-04-15 09:57:04</t>
        </is>
      </c>
      <c r="M43" t="inlineStr">
        <is>
          <t>2026-04-15 10:42:08</t>
        </is>
      </c>
      <c r="N43" t="n">
        <v>2.21</v>
      </c>
      <c r="O43" t="n">
        <v>0.75</v>
      </c>
      <c r="P43" t="n">
        <v>3.72</v>
      </c>
      <c r="R43" t="n">
        <v>1</v>
      </c>
      <c r="S43">
        <f>MAX(0,K43-Billing_Inputs!$B$6)</f>
        <v/>
      </c>
      <c r="T43">
        <f>MAX(0,O43-Billing_Inputs!$B$7)</f>
        <v/>
      </c>
    </row>
    <row r="44">
      <c r="A44" t="inlineStr">
        <is>
          <t>2026-04-15</t>
        </is>
      </c>
      <c r="B44" t="inlineStr">
        <is>
          <t>2026-04-15</t>
        </is>
      </c>
      <c r="C44" t="inlineStr">
        <is>
          <t>2026-04-15</t>
        </is>
      </c>
      <c r="D44" t="inlineStr">
        <is>
          <t>LCB</t>
        </is>
      </c>
      <c r="E44" t="inlineStr">
        <is>
          <t>72-1220</t>
        </is>
      </c>
      <c r="F44" t="inlineStr">
        <is>
          <t>72-1220 ปกรณ์ หัวลาก10W ข่า</t>
        </is>
      </c>
      <c r="G44" t="inlineStr">
        <is>
          <t>11.2</t>
        </is>
      </c>
      <c r="H44" t="inlineStr">
        <is>
          <t>11.3</t>
        </is>
      </c>
      <c r="I44" t="inlineStr">
        <is>
          <t>2026-04-15 07:36:44</t>
        </is>
      </c>
      <c r="J44" t="inlineStr">
        <is>
          <t>2026-04-15 08:53:25</t>
        </is>
      </c>
      <c r="K44" t="n">
        <v>1.28</v>
      </c>
      <c r="L44" t="inlineStr">
        <is>
          <t>2026-04-15 10:54:08</t>
        </is>
      </c>
      <c r="M44" t="inlineStr">
        <is>
          <t>2026-04-15 11:46:38</t>
        </is>
      </c>
      <c r="N44" t="n">
        <v>2.01</v>
      </c>
      <c r="O44" t="n">
        <v>0.88</v>
      </c>
      <c r="P44" t="n">
        <v>4.17</v>
      </c>
      <c r="R44" t="n">
        <v>1</v>
      </c>
      <c r="S44">
        <f>MAX(0,K44-Billing_Inputs!$B$6)</f>
        <v/>
      </c>
      <c r="T44">
        <f>MAX(0,O44-Billing_Inputs!$B$7)</f>
        <v/>
      </c>
    </row>
    <row r="45">
      <c r="A45" t="inlineStr">
        <is>
          <t>2026-04-15</t>
        </is>
      </c>
      <c r="B45" t="inlineStr">
        <is>
          <t>2026-04-15</t>
        </is>
      </c>
      <c r="C45" t="inlineStr">
        <is>
          <t>2026-04-15</t>
        </is>
      </c>
      <c r="D45" t="inlineStr">
        <is>
          <t>LCB</t>
        </is>
      </c>
      <c r="E45" t="inlineStr">
        <is>
          <t>71-6802</t>
        </is>
      </c>
      <c r="F45" t="inlineStr">
        <is>
          <t>71-6802 วิชาญ หัวลาก10W</t>
        </is>
      </c>
      <c r="G45" t="inlineStr">
        <is>
          <t>10.8</t>
        </is>
      </c>
      <c r="H45" t="inlineStr">
        <is>
          <t>10.6</t>
        </is>
      </c>
      <c r="I45" t="inlineStr">
        <is>
          <t>2026-04-15 16:14:04</t>
        </is>
      </c>
      <c r="J45" t="inlineStr">
        <is>
          <t>2026-04-15 19:37:15</t>
        </is>
      </c>
      <c r="K45" t="n">
        <v>3.39</v>
      </c>
      <c r="L45" t="inlineStr">
        <is>
          <t>2026-04-15 21:36:49</t>
        </is>
      </c>
      <c r="M45" t="inlineStr">
        <is>
          <t>2026-04-15 22:22:17</t>
        </is>
      </c>
      <c r="N45" t="n">
        <v>1.99</v>
      </c>
      <c r="O45" t="n">
        <v>0.76</v>
      </c>
      <c r="P45" t="n">
        <v>6.14</v>
      </c>
      <c r="R45" t="n">
        <v>1</v>
      </c>
      <c r="S45">
        <f>MAX(0,K45-Billing_Inputs!$B$6)</f>
        <v/>
      </c>
      <c r="T45">
        <f>MAX(0,O45-Billing_Inputs!$B$7)</f>
        <v/>
      </c>
    </row>
    <row r="46">
      <c r="A46" t="inlineStr">
        <is>
          <t>2026-04-15</t>
        </is>
      </c>
      <c r="B46" t="inlineStr">
        <is>
          <t>2026-04-15</t>
        </is>
      </c>
      <c r="C46" t="inlineStr">
        <is>
          <t>2026-04-15</t>
        </is>
      </c>
      <c r="D46" t="inlineStr">
        <is>
          <t>LCB</t>
        </is>
      </c>
      <c r="E46" t="inlineStr">
        <is>
          <t>72-1217</t>
        </is>
      </c>
      <c r="F46" t="inlineStr">
        <is>
          <t>72-1217 เนื้อ หัวลาก10W ตระไคร้</t>
        </is>
      </c>
      <c r="G46" t="inlineStr">
        <is>
          <t>7.7</t>
        </is>
      </c>
      <c r="H46" t="inlineStr">
        <is>
          <t>7.7</t>
        </is>
      </c>
      <c r="I46" t="inlineStr">
        <is>
          <t>2026-04-15 12:33:22</t>
        </is>
      </c>
      <c r="J46" t="inlineStr">
        <is>
          <t>2026-04-15 19:48:51</t>
        </is>
      </c>
      <c r="K46" t="n">
        <v>7.26</v>
      </c>
      <c r="L46" t="inlineStr">
        <is>
          <t>2026-04-15 21:41:18</t>
        </is>
      </c>
      <c r="M46" t="inlineStr">
        <is>
          <t>2026-04-15 22:37:35</t>
        </is>
      </c>
      <c r="N46" t="n">
        <v>1.87</v>
      </c>
      <c r="O46" t="n">
        <v>0.9399999999999999</v>
      </c>
      <c r="P46" t="n">
        <v>10.07</v>
      </c>
      <c r="R46" t="n">
        <v>1</v>
      </c>
      <c r="S46">
        <f>MAX(0,K46-Billing_Inputs!$B$6)</f>
        <v/>
      </c>
      <c r="T46">
        <f>MAX(0,O46-Billing_Inputs!$B$7)</f>
        <v/>
      </c>
    </row>
    <row r="47">
      <c r="A47" t="inlineStr">
        <is>
          <t>2026-04-15</t>
        </is>
      </c>
      <c r="B47" t="inlineStr">
        <is>
          <t>2026-04-15</t>
        </is>
      </c>
      <c r="C47" t="inlineStr">
        <is>
          <t>2026-04-16</t>
        </is>
      </c>
      <c r="D47" t="inlineStr">
        <is>
          <t>LCB</t>
        </is>
      </c>
      <c r="E47" t="inlineStr">
        <is>
          <t>71-9629</t>
        </is>
      </c>
      <c r="F47" t="inlineStr">
        <is>
          <t>71-9629 พิชิต หัวลาก10W แมงลัก</t>
        </is>
      </c>
      <c r="G47" t="inlineStr">
        <is>
          <t>9.8</t>
        </is>
      </c>
      <c r="H47" t="inlineStr">
        <is>
          <t>8.7</t>
        </is>
      </c>
      <c r="I47" t="inlineStr">
        <is>
          <t>2026-04-15 23:37:58</t>
        </is>
      </c>
      <c r="J47" t="inlineStr">
        <is>
          <t>2026-04-16 01:12:34</t>
        </is>
      </c>
      <c r="K47" t="n">
        <v>1.58</v>
      </c>
      <c r="L47" t="inlineStr">
        <is>
          <t>2026-04-16 06:04:24</t>
        </is>
      </c>
      <c r="M47" t="inlineStr">
        <is>
          <t>2026-04-16 07:11:29</t>
        </is>
      </c>
      <c r="N47" t="n">
        <v>4.86</v>
      </c>
      <c r="O47" t="n">
        <v>1.12</v>
      </c>
      <c r="P47" t="n">
        <v>7.56</v>
      </c>
      <c r="R47" t="n">
        <v>1</v>
      </c>
      <c r="S47">
        <f>MAX(0,K47-Billing_Inputs!$B$6)</f>
        <v/>
      </c>
      <c r="T47">
        <f>MAX(0,O47-Billing_Inputs!$B$7)</f>
        <v/>
      </c>
    </row>
    <row r="48">
      <c r="A48" t="inlineStr">
        <is>
          <t>2026-04-16</t>
        </is>
      </c>
      <c r="B48" t="inlineStr">
        <is>
          <t>2026-04-16</t>
        </is>
      </c>
      <c r="C48" t="inlineStr">
        <is>
          <t>2026-04-16</t>
        </is>
      </c>
      <c r="D48" t="inlineStr">
        <is>
          <t>LCB</t>
        </is>
      </c>
      <c r="E48" t="inlineStr">
        <is>
          <t>71-6802</t>
        </is>
      </c>
      <c r="F48" t="inlineStr">
        <is>
          <t>71-6802 วิชาญ หัวลาก10W</t>
        </is>
      </c>
      <c r="G48" t="inlineStr">
        <is>
          <t>10.9</t>
        </is>
      </c>
      <c r="H48" t="inlineStr">
        <is>
          <t>10.7</t>
        </is>
      </c>
      <c r="I48" t="inlineStr">
        <is>
          <t>2026-04-16 00:06:40</t>
        </is>
      </c>
      <c r="J48" t="inlineStr">
        <is>
          <t>2026-04-16 06:21:42</t>
        </is>
      </c>
      <c r="K48" t="n">
        <v>6.25</v>
      </c>
      <c r="L48" t="inlineStr">
        <is>
          <t>2026-04-16 08:52:56</t>
        </is>
      </c>
      <c r="M48" t="inlineStr">
        <is>
          <t>2026-04-16 10:09:55</t>
        </is>
      </c>
      <c r="N48" t="n">
        <v>2.52</v>
      </c>
      <c r="O48" t="n">
        <v>1.28</v>
      </c>
      <c r="P48" t="n">
        <v>10.05</v>
      </c>
      <c r="R48" t="n">
        <v>1</v>
      </c>
      <c r="S48">
        <f>MAX(0,K48-Billing_Inputs!$B$6)</f>
        <v/>
      </c>
      <c r="T48">
        <f>MAX(0,O48-Billing_Inputs!$B$7)</f>
        <v/>
      </c>
    </row>
    <row r="49">
      <c r="A49" t="inlineStr">
        <is>
          <t>2026-04-16</t>
        </is>
      </c>
      <c r="B49" t="inlineStr">
        <is>
          <t>2026-04-16</t>
        </is>
      </c>
      <c r="C49" t="inlineStr">
        <is>
          <t>2026-04-16</t>
        </is>
      </c>
      <c r="D49" t="inlineStr">
        <is>
          <t>LCB</t>
        </is>
      </c>
      <c r="E49" t="inlineStr">
        <is>
          <t>72-1217</t>
        </is>
      </c>
      <c r="F49" t="inlineStr">
        <is>
          <t>72-1217 เนื้อ หัวลาก10W ตระไคร้</t>
        </is>
      </c>
      <c r="G49" t="inlineStr">
        <is>
          <t>7.8</t>
        </is>
      </c>
      <c r="H49" t="inlineStr">
        <is>
          <t>7.8</t>
        </is>
      </c>
      <c r="I49" t="inlineStr">
        <is>
          <t>2026-04-16 06:56:12</t>
        </is>
      </c>
      <c r="J49" t="inlineStr">
        <is>
          <t>2026-04-16 08:02:20</t>
        </is>
      </c>
      <c r="K49" t="n">
        <v>1.1</v>
      </c>
      <c r="L49" t="inlineStr">
        <is>
          <t>2026-04-16 09:37:29</t>
        </is>
      </c>
      <c r="M49" t="inlineStr">
        <is>
          <t>2026-04-16 10:18:00</t>
        </is>
      </c>
      <c r="N49" t="n">
        <v>1.59</v>
      </c>
      <c r="O49" t="n">
        <v>0.68</v>
      </c>
      <c r="P49" t="n">
        <v>3.36</v>
      </c>
      <c r="R49" t="n">
        <v>1</v>
      </c>
      <c r="S49">
        <f>MAX(0,K49-Billing_Inputs!$B$6)</f>
        <v/>
      </c>
      <c r="T49">
        <f>MAX(0,O49-Billing_Inputs!$B$7)</f>
        <v/>
      </c>
    </row>
    <row r="50">
      <c r="A50" t="inlineStr">
        <is>
          <t>2026-04-15</t>
        </is>
      </c>
      <c r="B50" t="inlineStr">
        <is>
          <t>2026-04-15</t>
        </is>
      </c>
      <c r="C50" t="inlineStr">
        <is>
          <t>2026-04-16</t>
        </is>
      </c>
      <c r="D50" t="inlineStr">
        <is>
          <t>LCB</t>
        </is>
      </c>
      <c r="E50" t="inlineStr">
        <is>
          <t>71-8681</t>
        </is>
      </c>
      <c r="F50" t="inlineStr">
        <is>
          <t>71-8681 ว่าง หัวลาก10W อ้อย</t>
        </is>
      </c>
      <c r="G50" t="inlineStr">
        <is>
          <t>8.4</t>
        </is>
      </c>
      <c r="H50" t="inlineStr">
        <is>
          <t>9.4</t>
        </is>
      </c>
      <c r="I50" t="inlineStr">
        <is>
          <t>2026-04-15 14:01:30</t>
        </is>
      </c>
      <c r="J50" t="inlineStr">
        <is>
          <t>2026-04-15 22:18:33</t>
        </is>
      </c>
      <c r="K50" t="n">
        <v>8.279999999999999</v>
      </c>
      <c r="L50" t="inlineStr">
        <is>
          <t>2026-04-16 09:58:38</t>
        </is>
      </c>
      <c r="M50" t="inlineStr">
        <is>
          <t>2026-04-16 11:01:34</t>
        </is>
      </c>
      <c r="N50" t="n">
        <v>11.67</v>
      </c>
      <c r="O50" t="n">
        <v>1.05</v>
      </c>
      <c r="P50" t="n">
        <v>21</v>
      </c>
      <c r="Q50" t="inlineStr">
        <is>
          <t>ABNORMAL</t>
        </is>
      </c>
      <c r="R50" t="n">
        <v>1</v>
      </c>
      <c r="S50">
        <f>MAX(0,K50-Billing_Inputs!$B$6)</f>
        <v/>
      </c>
      <c r="T50">
        <f>MAX(0,O50-Billing_Inputs!$B$7)</f>
        <v/>
      </c>
    </row>
    <row r="51">
      <c r="A51" t="inlineStr">
        <is>
          <t>2026-04-16</t>
        </is>
      </c>
      <c r="B51" t="inlineStr">
        <is>
          <t>2026-04-16</t>
        </is>
      </c>
      <c r="C51" t="inlineStr">
        <is>
          <t>2026-04-16</t>
        </is>
      </c>
      <c r="D51" t="inlineStr">
        <is>
          <t>LCB</t>
        </is>
      </c>
      <c r="E51" t="inlineStr">
        <is>
          <t>71-9629</t>
        </is>
      </c>
      <c r="F51" t="inlineStr">
        <is>
          <t>71-9629 พิชิต หัวลาก10W แมงลัก</t>
        </is>
      </c>
      <c r="G51" t="inlineStr">
        <is>
          <t>9.9</t>
        </is>
      </c>
      <c r="H51" t="inlineStr">
        <is>
          <t>8.8</t>
        </is>
      </c>
      <c r="I51" t="inlineStr">
        <is>
          <t>2026-04-16 09:14:00</t>
        </is>
      </c>
      <c r="J51" t="inlineStr">
        <is>
          <t>2026-04-16 11:47:57</t>
        </is>
      </c>
      <c r="K51" t="n">
        <v>2.57</v>
      </c>
      <c r="L51" t="inlineStr">
        <is>
          <t>2026-04-16 14:31:16</t>
        </is>
      </c>
      <c r="M51" t="inlineStr">
        <is>
          <t>2026-04-16 15:42:24</t>
        </is>
      </c>
      <c r="N51" t="n">
        <v>2.72</v>
      </c>
      <c r="O51" t="n">
        <v>1.19</v>
      </c>
      <c r="P51" t="n">
        <v>6.47</v>
      </c>
      <c r="R51" t="n">
        <v>1</v>
      </c>
      <c r="S51">
        <f>MAX(0,K51-Billing_Inputs!$B$6)</f>
        <v/>
      </c>
      <c r="T51">
        <f>MAX(0,O51-Billing_Inputs!$B$7)</f>
        <v/>
      </c>
    </row>
    <row r="52">
      <c r="A52" t="inlineStr">
        <is>
          <t>2026-04-16</t>
        </is>
      </c>
      <c r="B52" t="inlineStr">
        <is>
          <t>2026-04-16</t>
        </is>
      </c>
      <c r="C52" t="inlineStr">
        <is>
          <t>2026-04-16</t>
        </is>
      </c>
      <c r="D52" t="inlineStr">
        <is>
          <t>LCB</t>
        </is>
      </c>
      <c r="E52" t="inlineStr">
        <is>
          <t>71-6802</t>
        </is>
      </c>
      <c r="F52" t="inlineStr">
        <is>
          <t>71-6802 วิชาญ หัวลาก10W</t>
        </is>
      </c>
      <c r="G52" t="inlineStr">
        <is>
          <t>10.10</t>
        </is>
      </c>
      <c r="H52" t="inlineStr">
        <is>
          <t>10.8</t>
        </is>
      </c>
      <c r="I52" t="inlineStr">
        <is>
          <t>2026-04-16 12:00:58</t>
        </is>
      </c>
      <c r="J52" t="inlineStr">
        <is>
          <t>2026-04-16 14:01:55</t>
        </is>
      </c>
      <c r="K52" t="n">
        <v>2.02</v>
      </c>
      <c r="L52" t="inlineStr">
        <is>
          <t>2026-04-16 16:03:53</t>
        </is>
      </c>
      <c r="M52" t="inlineStr">
        <is>
          <t>2026-04-16 16:37:09</t>
        </is>
      </c>
      <c r="N52" t="n">
        <v>2.03</v>
      </c>
      <c r="O52" t="n">
        <v>0.55</v>
      </c>
      <c r="P52" t="n">
        <v>4.6</v>
      </c>
      <c r="R52" t="n">
        <v>1</v>
      </c>
      <c r="S52">
        <f>MAX(0,K52-Billing_Inputs!$B$6)</f>
        <v/>
      </c>
      <c r="T52">
        <f>MAX(0,O52-Billing_Inputs!$B$7)</f>
        <v/>
      </c>
    </row>
    <row r="53">
      <c r="A53" t="inlineStr">
        <is>
          <t>2026-04-16</t>
        </is>
      </c>
      <c r="B53" t="inlineStr">
        <is>
          <t>2026-04-16</t>
        </is>
      </c>
      <c r="C53" t="inlineStr">
        <is>
          <t>2026-04-16</t>
        </is>
      </c>
      <c r="D53" t="inlineStr">
        <is>
          <t>LCB</t>
        </is>
      </c>
      <c r="E53" t="inlineStr">
        <is>
          <t>71-8967</t>
        </is>
      </c>
      <c r="F53" t="inlineStr">
        <is>
          <t>71-8967 ณัฐวุฒิ หัวลาก10W ทับทิม</t>
        </is>
      </c>
      <c r="G53" t="inlineStr">
        <is>
          <t>12.1</t>
        </is>
      </c>
      <c r="H53" t="inlineStr">
        <is>
          <t>12.2</t>
        </is>
      </c>
      <c r="I53" t="inlineStr">
        <is>
          <t>2026-04-16 12:21:03</t>
        </is>
      </c>
      <c r="J53" t="inlineStr">
        <is>
          <t>2026-04-16 14:42:49</t>
        </is>
      </c>
      <c r="K53" t="n">
        <v>2.36</v>
      </c>
      <c r="L53" t="inlineStr">
        <is>
          <t>2026-04-16 16:50:56</t>
        </is>
      </c>
      <c r="M53" t="inlineStr">
        <is>
          <t>2026-04-16 18:10:48</t>
        </is>
      </c>
      <c r="N53" t="n">
        <v>2.14</v>
      </c>
      <c r="O53" t="n">
        <v>1.33</v>
      </c>
      <c r="P53" t="n">
        <v>5.83</v>
      </c>
      <c r="R53" t="n">
        <v>1</v>
      </c>
      <c r="S53">
        <f>MAX(0,K53-Billing_Inputs!$B$6)</f>
        <v/>
      </c>
      <c r="T53">
        <f>MAX(0,O53-Billing_Inputs!$B$7)</f>
        <v/>
      </c>
    </row>
    <row r="54">
      <c r="A54" t="inlineStr">
        <is>
          <t>2026-04-16</t>
        </is>
      </c>
      <c r="B54" t="inlineStr">
        <is>
          <t>2026-04-16</t>
        </is>
      </c>
      <c r="C54" t="inlineStr">
        <is>
          <t>2026-04-16</t>
        </is>
      </c>
      <c r="D54" t="inlineStr">
        <is>
          <t>LCB</t>
        </is>
      </c>
      <c r="E54" t="inlineStr">
        <is>
          <t>72-1217</t>
        </is>
      </c>
      <c r="F54" t="inlineStr">
        <is>
          <t>72-1217 เนื้อ หัวลาก10W ตระไคร้</t>
        </is>
      </c>
      <c r="G54" t="inlineStr">
        <is>
          <t>7.9</t>
        </is>
      </c>
      <c r="H54" t="inlineStr">
        <is>
          <t>7.9</t>
        </is>
      </c>
      <c r="I54" t="inlineStr">
        <is>
          <t>2026-04-16 14:09:45</t>
        </is>
      </c>
      <c r="J54" t="inlineStr">
        <is>
          <t>2026-04-16 18:23:55</t>
        </is>
      </c>
      <c r="K54" t="n">
        <v>4.24</v>
      </c>
      <c r="L54" t="inlineStr">
        <is>
          <t>2026-04-16 20:21:57</t>
        </is>
      </c>
      <c r="M54" t="inlineStr">
        <is>
          <t>2026-04-16 20:59:39</t>
        </is>
      </c>
      <c r="N54" t="n">
        <v>1.97</v>
      </c>
      <c r="O54" t="n">
        <v>0.63</v>
      </c>
      <c r="P54" t="n">
        <v>6.83</v>
      </c>
      <c r="R54" t="n">
        <v>1</v>
      </c>
      <c r="S54">
        <f>MAX(0,K54-Billing_Inputs!$B$6)</f>
        <v/>
      </c>
      <c r="T54">
        <f>MAX(0,O54-Billing_Inputs!$B$7)</f>
        <v/>
      </c>
    </row>
    <row r="55">
      <c r="A55" t="inlineStr">
        <is>
          <t>2026-04-16</t>
        </is>
      </c>
      <c r="B55" t="inlineStr">
        <is>
          <t>2026-04-16</t>
        </is>
      </c>
      <c r="C55" t="inlineStr">
        <is>
          <t>2026-04-16</t>
        </is>
      </c>
      <c r="D55" t="inlineStr">
        <is>
          <t>LCB</t>
        </is>
      </c>
      <c r="E55" t="inlineStr">
        <is>
          <t>71-9629</t>
        </is>
      </c>
      <c r="F55" t="inlineStr">
        <is>
          <t>71-9629 พิชิต หัวลาก10W แมงลัก</t>
        </is>
      </c>
      <c r="G55" t="inlineStr">
        <is>
          <t>9.10</t>
        </is>
      </c>
      <c r="H55" t="inlineStr">
        <is>
          <t>8.9</t>
        </is>
      </c>
      <c r="I55" t="inlineStr">
        <is>
          <t>2026-04-16 18:39:40</t>
        </is>
      </c>
      <c r="J55" t="inlineStr">
        <is>
          <t>2026-04-16 20:00:08</t>
        </is>
      </c>
      <c r="K55" t="n">
        <v>1.34</v>
      </c>
      <c r="L55" t="inlineStr">
        <is>
          <t>2026-04-16 22:29:31</t>
        </is>
      </c>
      <c r="M55" t="inlineStr">
        <is>
          <t>2026-04-16 23:23:18</t>
        </is>
      </c>
      <c r="N55" t="n">
        <v>2.49</v>
      </c>
      <c r="O55" t="n">
        <v>0.9</v>
      </c>
      <c r="P55" t="n">
        <v>4.73</v>
      </c>
      <c r="R55" t="n">
        <v>1</v>
      </c>
      <c r="S55">
        <f>MAX(0,K55-Billing_Inputs!$B$6)</f>
        <v/>
      </c>
      <c r="T55">
        <f>MAX(0,O55-Billing_Inputs!$B$7)</f>
        <v/>
      </c>
    </row>
    <row r="56">
      <c r="A56" t="inlineStr">
        <is>
          <t>2026-04-16</t>
        </is>
      </c>
      <c r="B56" t="inlineStr">
        <is>
          <t>2026-04-16</t>
        </is>
      </c>
      <c r="C56" t="inlineStr">
        <is>
          <t>2026-04-17</t>
        </is>
      </c>
      <c r="D56" t="inlineStr">
        <is>
          <t>LCB</t>
        </is>
      </c>
      <c r="E56" t="inlineStr">
        <is>
          <t>71-8681</t>
        </is>
      </c>
      <c r="F56" t="inlineStr">
        <is>
          <t>71-8681 ว่าง หัวลาก10W อ้อย</t>
        </is>
      </c>
      <c r="G56" t="inlineStr">
        <is>
          <t>8.5</t>
        </is>
      </c>
      <c r="H56" t="inlineStr">
        <is>
          <t>9.5</t>
        </is>
      </c>
      <c r="I56" t="inlineStr">
        <is>
          <t>2026-04-16 16:31:18</t>
        </is>
      </c>
      <c r="J56" t="inlineStr">
        <is>
          <t>2026-04-16 19:12:41</t>
        </is>
      </c>
      <c r="K56" t="n">
        <v>2.69</v>
      </c>
      <c r="L56" t="inlineStr">
        <is>
          <t>2026-04-17 00:52:17</t>
        </is>
      </c>
      <c r="M56" t="inlineStr">
        <is>
          <t>2026-04-17 02:48:06</t>
        </is>
      </c>
      <c r="N56" t="n">
        <v>5.66</v>
      </c>
      <c r="O56" t="n">
        <v>1.93</v>
      </c>
      <c r="P56" t="n">
        <v>10.28</v>
      </c>
      <c r="R56" t="n">
        <v>1</v>
      </c>
      <c r="S56">
        <f>MAX(0,K56-Billing_Inputs!$B$6)</f>
        <v/>
      </c>
      <c r="T56">
        <f>MAX(0,O56-Billing_Inputs!$B$7)</f>
        <v/>
      </c>
    </row>
    <row r="57">
      <c r="A57" t="inlineStr">
        <is>
          <t>2026-04-16</t>
        </is>
      </c>
      <c r="B57" t="inlineStr">
        <is>
          <t>2026-04-16</t>
        </is>
      </c>
      <c r="C57" t="inlineStr">
        <is>
          <t>2026-04-17</t>
        </is>
      </c>
      <c r="D57" t="inlineStr">
        <is>
          <t>LCB</t>
        </is>
      </c>
      <c r="E57" t="inlineStr">
        <is>
          <t>71-6802</t>
        </is>
      </c>
      <c r="F57" t="inlineStr">
        <is>
          <t>71-6802 วิชาญ หัวลาก10W</t>
        </is>
      </c>
      <c r="G57" t="inlineStr">
        <is>
          <t>10.11</t>
        </is>
      </c>
      <c r="H57" t="inlineStr">
        <is>
          <t>10.9</t>
        </is>
      </c>
      <c r="I57" t="inlineStr">
        <is>
          <t>2026-04-16 19:25:20</t>
        </is>
      </c>
      <c r="J57" t="inlineStr">
        <is>
          <t>2026-04-16 23:54:07</t>
        </is>
      </c>
      <c r="K57" t="n">
        <v>4.48</v>
      </c>
      <c r="L57" t="inlineStr">
        <is>
          <t>2026-04-17 07:13:18</t>
        </is>
      </c>
      <c r="M57" t="inlineStr">
        <is>
          <t>2026-04-17 08:42:23</t>
        </is>
      </c>
      <c r="N57" t="n">
        <v>7.32</v>
      </c>
      <c r="O57" t="n">
        <v>1.48</v>
      </c>
      <c r="P57" t="n">
        <v>13.28</v>
      </c>
      <c r="R57" t="n">
        <v>1</v>
      </c>
      <c r="S57">
        <f>MAX(0,K57-Billing_Inputs!$B$6)</f>
        <v/>
      </c>
      <c r="T57">
        <f>MAX(0,O57-Billing_Inputs!$B$7)</f>
        <v/>
      </c>
    </row>
    <row r="58">
      <c r="A58" t="inlineStr">
        <is>
          <t>2026-04-16</t>
        </is>
      </c>
      <c r="B58" t="inlineStr">
        <is>
          <t>2026-04-16</t>
        </is>
      </c>
      <c r="C58" t="inlineStr">
        <is>
          <t>2026-04-17</t>
        </is>
      </c>
      <c r="D58" t="inlineStr">
        <is>
          <t>LCB</t>
        </is>
      </c>
      <c r="E58" t="inlineStr">
        <is>
          <t>71-8967</t>
        </is>
      </c>
      <c r="F58" t="inlineStr">
        <is>
          <t>71-8967 ณัฐวุฒิ หัวลาก10W ทับทิม</t>
        </is>
      </c>
      <c r="G58" t="inlineStr">
        <is>
          <t>12.2</t>
        </is>
      </c>
      <c r="H58" t="inlineStr">
        <is>
          <t>12.3</t>
        </is>
      </c>
      <c r="I58" t="inlineStr">
        <is>
          <t>2026-04-16 20:34:43</t>
        </is>
      </c>
      <c r="J58" t="inlineStr">
        <is>
          <t>2026-04-17 00:03:41</t>
        </is>
      </c>
      <c r="K58" t="n">
        <v>3.48</v>
      </c>
      <c r="L58" t="inlineStr">
        <is>
          <t>2026-04-17 08:32:38</t>
        </is>
      </c>
      <c r="M58" t="inlineStr">
        <is>
          <t>2026-04-17 09:28:37</t>
        </is>
      </c>
      <c r="N58" t="n">
        <v>8.48</v>
      </c>
      <c r="O58" t="n">
        <v>0.93</v>
      </c>
      <c r="P58" t="n">
        <v>12.9</v>
      </c>
      <c r="Q58" t="inlineStr">
        <is>
          <t>ABNORMAL</t>
        </is>
      </c>
      <c r="R58" t="n">
        <v>1</v>
      </c>
      <c r="S58">
        <f>MAX(0,K58-Billing_Inputs!$B$6)</f>
        <v/>
      </c>
      <c r="T58">
        <f>MAX(0,O58-Billing_Inputs!$B$7)</f>
        <v/>
      </c>
    </row>
    <row r="59">
      <c r="A59" t="inlineStr">
        <is>
          <t>2026-04-17</t>
        </is>
      </c>
      <c r="B59" t="inlineStr">
        <is>
          <t>2026-04-17</t>
        </is>
      </c>
      <c r="C59" t="inlineStr">
        <is>
          <t>2026-04-17</t>
        </is>
      </c>
      <c r="D59" t="inlineStr">
        <is>
          <t>LCB</t>
        </is>
      </c>
      <c r="E59" t="inlineStr">
        <is>
          <t>72-1217</t>
        </is>
      </c>
      <c r="F59" t="inlineStr">
        <is>
          <t>72-1217 เนื้อ หัวลาก10W ตระไคร้</t>
        </is>
      </c>
      <c r="G59" t="inlineStr">
        <is>
          <t>7.10</t>
        </is>
      </c>
      <c r="H59" t="inlineStr">
        <is>
          <t>7.10</t>
        </is>
      </c>
      <c r="I59" t="inlineStr">
        <is>
          <t>2026-04-17 06:13:11</t>
        </is>
      </c>
      <c r="J59" t="inlineStr">
        <is>
          <t>2026-04-17 07:03:16</t>
        </is>
      </c>
      <c r="K59" t="n">
        <v>0.83</v>
      </c>
      <c r="L59" t="inlineStr">
        <is>
          <t>2026-04-17 09:03:04</t>
        </is>
      </c>
      <c r="M59" t="inlineStr">
        <is>
          <t>2026-04-17 09:52:18</t>
        </is>
      </c>
      <c r="N59" t="n">
        <v>2</v>
      </c>
      <c r="O59" t="n">
        <v>0.82</v>
      </c>
      <c r="P59" t="n">
        <v>3.65</v>
      </c>
      <c r="R59" t="n">
        <v>1</v>
      </c>
      <c r="S59">
        <f>MAX(0,K59-Billing_Inputs!$B$6)</f>
        <v/>
      </c>
      <c r="T59">
        <f>MAX(0,O59-Billing_Inputs!$B$7)</f>
        <v/>
      </c>
    </row>
    <row r="60">
      <c r="A60" t="inlineStr">
        <is>
          <t>2026-04-17</t>
        </is>
      </c>
      <c r="B60" t="inlineStr">
        <is>
          <t>2026-04-17</t>
        </is>
      </c>
      <c r="C60" t="inlineStr">
        <is>
          <t>2026-04-17</t>
        </is>
      </c>
      <c r="D60" t="inlineStr">
        <is>
          <t>LCB</t>
        </is>
      </c>
      <c r="E60" t="inlineStr">
        <is>
          <t>71-9629</t>
        </is>
      </c>
      <c r="F60" t="inlineStr">
        <is>
          <t>71-9629 พิชิต หัวลาก10W แมงลัก</t>
        </is>
      </c>
      <c r="G60" t="inlineStr">
        <is>
          <t>9.11</t>
        </is>
      </c>
      <c r="H60" t="inlineStr">
        <is>
          <t>8.10</t>
        </is>
      </c>
      <c r="I60" t="inlineStr">
        <is>
          <t>2026-04-17 07:33:55</t>
        </is>
      </c>
      <c r="J60" t="inlineStr">
        <is>
          <t>2026-04-17 09:49:50</t>
        </is>
      </c>
      <c r="K60" t="n">
        <v>2.27</v>
      </c>
      <c r="L60" t="inlineStr">
        <is>
          <t>2026-04-17 11:56:19</t>
        </is>
      </c>
      <c r="M60" t="inlineStr">
        <is>
          <t>2026-04-17 13:04:52</t>
        </is>
      </c>
      <c r="N60" t="n">
        <v>2.11</v>
      </c>
      <c r="O60" t="n">
        <v>1.14</v>
      </c>
      <c r="P60" t="n">
        <v>5.52</v>
      </c>
      <c r="R60" t="n">
        <v>1</v>
      </c>
      <c r="S60">
        <f>MAX(0,K60-Billing_Inputs!$B$6)</f>
        <v/>
      </c>
      <c r="T60">
        <f>MAX(0,O60-Billing_Inputs!$B$7)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7" customWidth="1" min="3" max="3"/>
    <col width="60" customWidth="1" min="4" max="4"/>
    <col width="19" customWidth="1" min="5" max="5"/>
    <col width="14" customWidth="1" min="6" max="6"/>
    <col width="17" customWidth="1" min="7" max="7"/>
  </cols>
  <sheetData>
    <row r="1">
      <c r="A1" t="inlineStr">
        <is>
          <t>Date_Basis</t>
        </is>
      </c>
      <c r="B1" t="inlineStr">
        <is>
          <t>Date</t>
        </is>
      </c>
      <c r="C1" t="inlineStr">
        <is>
          <t>Trips</t>
        </is>
      </c>
      <c r="D1" t="inlineStr">
        <is>
          <t>Trucks</t>
        </is>
      </c>
      <c r="E1" t="inlineStr">
        <is>
          <t>Avg_Origin_Wait_h</t>
        </is>
      </c>
      <c r="F1" t="inlineStr">
        <is>
          <t>Avg_Travel_h</t>
        </is>
      </c>
      <c r="G1" t="inlineStr">
        <is>
          <t>Avg_Dest_Wait_h</t>
        </is>
      </c>
    </row>
    <row r="2">
      <c r="A2" t="inlineStr">
        <is>
          <t>Dest_In date</t>
        </is>
      </c>
      <c r="B2" t="inlineStr">
        <is>
          <t>2026-04-09</t>
        </is>
      </c>
      <c r="C2" t="n">
        <v>3</v>
      </c>
      <c r="D2" t="inlineStr">
        <is>
          <t>71-8002(1), 71-8001(2)</t>
        </is>
      </c>
      <c r="E2" t="n">
        <v>3.6</v>
      </c>
      <c r="F2" t="n">
        <v>2.04</v>
      </c>
      <c r="G2" t="n">
        <v>3.11</v>
      </c>
    </row>
    <row r="3">
      <c r="A3" t="inlineStr">
        <is>
          <t>Dest_In date</t>
        </is>
      </c>
      <c r="B3" t="inlineStr">
        <is>
          <t>2026-04-10</t>
        </is>
      </c>
      <c r="C3" t="n">
        <v>6</v>
      </c>
      <c r="D3" t="inlineStr">
        <is>
          <t>71-8002(2), 71-8003(1), 71-8001(2), 71-8684(1)</t>
        </is>
      </c>
      <c r="E3" t="n">
        <v>4.44</v>
      </c>
      <c r="F3" t="n">
        <v>3.36</v>
      </c>
      <c r="G3" t="n">
        <v>2.38</v>
      </c>
    </row>
    <row r="4">
      <c r="A4" t="inlineStr">
        <is>
          <t>Dest_In date</t>
        </is>
      </c>
      <c r="B4" t="inlineStr">
        <is>
          <t>2026-04-11</t>
        </is>
      </c>
      <c r="C4" t="n">
        <v>5</v>
      </c>
      <c r="D4" t="inlineStr">
        <is>
          <t>71-8003(1), 71-8002(1), 71-8683(1), 71-5041(1), 71-8001(1)</t>
        </is>
      </c>
      <c r="E4" t="n">
        <v>12.29</v>
      </c>
      <c r="F4" t="n">
        <v>3.65</v>
      </c>
      <c r="G4" t="n">
        <v>1.54</v>
      </c>
    </row>
    <row r="5">
      <c r="A5" t="inlineStr">
        <is>
          <t>Dest_In date</t>
        </is>
      </c>
      <c r="B5" t="inlineStr">
        <is>
          <t>2026-04-12</t>
        </is>
      </c>
      <c r="C5" t="n">
        <v>6</v>
      </c>
      <c r="D5" t="inlineStr">
        <is>
          <t>71-8003(1), 71-8002(1), 71-5041(2), 71-8001(1), 71-8684(1)</t>
        </is>
      </c>
      <c r="E5" t="n">
        <v>10.23</v>
      </c>
      <c r="F5" t="n">
        <v>2.37</v>
      </c>
      <c r="G5" t="n">
        <v>1.69</v>
      </c>
    </row>
    <row r="6">
      <c r="A6" t="inlineStr">
        <is>
          <t>Dest_In date</t>
        </is>
      </c>
      <c r="B6" t="inlineStr">
        <is>
          <t>2026-04-13</t>
        </is>
      </c>
      <c r="C6" t="n">
        <v>10</v>
      </c>
      <c r="D6" t="inlineStr">
        <is>
          <t>72-1217(3), 71-9629(2), 71-8681(1), 71-6802(2), 71-5041(2)</t>
        </is>
      </c>
      <c r="E6" t="n">
        <v>4.46</v>
      </c>
      <c r="F6" t="n">
        <v>3.27</v>
      </c>
      <c r="G6" t="n">
        <v>0.93</v>
      </c>
    </row>
    <row r="7">
      <c r="A7" t="inlineStr">
        <is>
          <t>Dest_In date</t>
        </is>
      </c>
      <c r="B7" t="inlineStr">
        <is>
          <t>2026-04-14</t>
        </is>
      </c>
      <c r="C7" t="n">
        <v>7</v>
      </c>
      <c r="D7" t="inlineStr">
        <is>
          <t>71-9629(3), 71-6802(1), 72-1217(2), 72-1220(1)</t>
        </is>
      </c>
      <c r="E7" t="n">
        <v>3.37</v>
      </c>
      <c r="F7" t="n">
        <v>2.93</v>
      </c>
      <c r="G7" t="n">
        <v>0.92</v>
      </c>
    </row>
    <row r="8">
      <c r="A8" t="inlineStr">
        <is>
          <t>Dest_In date</t>
        </is>
      </c>
      <c r="B8" t="inlineStr">
        <is>
          <t>2026-04-15</t>
        </is>
      </c>
      <c r="C8" t="n">
        <v>8</v>
      </c>
      <c r="D8" t="inlineStr">
        <is>
          <t>71-6802(3), 71-9629(1), 71-8681(1), 72-1217(2), 72-1220(1)</t>
        </is>
      </c>
      <c r="E8" t="n">
        <v>3.79</v>
      </c>
      <c r="F8" t="n">
        <v>2.48</v>
      </c>
      <c r="G8" t="n">
        <v>0.85</v>
      </c>
    </row>
    <row r="9">
      <c r="A9" t="inlineStr">
        <is>
          <t>Dest_In date</t>
        </is>
      </c>
      <c r="B9" t="inlineStr">
        <is>
          <t>2026-04-16</t>
        </is>
      </c>
      <c r="C9" t="n">
        <v>9</v>
      </c>
      <c r="D9" t="inlineStr">
        <is>
          <t>71-9629(3), 71-6802(2), 72-1217(2), 71-8681(1), 71-8967(1)</t>
        </is>
      </c>
      <c r="E9" t="n">
        <v>3.3</v>
      </c>
      <c r="F9" t="n">
        <v>3.55</v>
      </c>
      <c r="G9" t="n">
        <v>0.97</v>
      </c>
    </row>
    <row r="10">
      <c r="A10" t="inlineStr">
        <is>
          <t>Dest_In date</t>
        </is>
      </c>
      <c r="B10" t="inlineStr">
        <is>
          <t>2026-04-17</t>
        </is>
      </c>
      <c r="C10" t="n">
        <v>5</v>
      </c>
      <c r="D10" t="inlineStr">
        <is>
          <t>71-8681(1), 71-6802(1), 71-8967(1), 72-1217(1), 71-9629(1)</t>
        </is>
      </c>
      <c r="E10" t="n">
        <v>2.75</v>
      </c>
      <c r="F10" t="n">
        <v>5.11</v>
      </c>
      <c r="G10" t="n">
        <v>1.26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7" customWidth="1" min="3" max="3"/>
    <col width="48" customWidth="1" min="4" max="4"/>
    <col width="19" customWidth="1" min="5" max="5"/>
    <col width="14" customWidth="1" min="6" max="6"/>
    <col width="17" customWidth="1" min="7" max="7"/>
  </cols>
  <sheetData>
    <row r="1">
      <c r="A1" t="inlineStr">
        <is>
          <t>Date_Basis</t>
        </is>
      </c>
      <c r="B1" t="inlineStr">
        <is>
          <t>Date</t>
        </is>
      </c>
      <c r="C1" t="inlineStr">
        <is>
          <t>Trips</t>
        </is>
      </c>
      <c r="D1" t="inlineStr">
        <is>
          <t>Trucks</t>
        </is>
      </c>
      <c r="E1" t="inlineStr">
        <is>
          <t>Avg_Origin_Wait_h</t>
        </is>
      </c>
      <c r="F1" t="inlineStr">
        <is>
          <t>Avg_Travel_h</t>
        </is>
      </c>
      <c r="G1" t="inlineStr">
        <is>
          <t>Avg_Dest_Wait_h</t>
        </is>
      </c>
    </row>
    <row r="2">
      <c r="A2" t="inlineStr">
        <is>
          <t>Dest_In date</t>
        </is>
      </c>
      <c r="B2" t="inlineStr">
        <is>
          <t>2026-04-09</t>
        </is>
      </c>
      <c r="C2" t="n">
        <v>3</v>
      </c>
      <c r="D2" t="inlineStr">
        <is>
          <t>71-8002(1), 71-8001(2)</t>
        </is>
      </c>
      <c r="E2" t="n">
        <v>3.6</v>
      </c>
      <c r="F2" t="n">
        <v>2.04</v>
      </c>
      <c r="G2" t="n">
        <v>3.11</v>
      </c>
    </row>
    <row r="3">
      <c r="A3" t="inlineStr">
        <is>
          <t>Dest_In date</t>
        </is>
      </c>
      <c r="B3" t="inlineStr">
        <is>
          <t>2026-04-10</t>
        </is>
      </c>
      <c r="C3" t="n">
        <v>5</v>
      </c>
      <c r="D3" t="inlineStr">
        <is>
          <t>71-8002(2), 71-8003(1), 71-8001(2)</t>
        </is>
      </c>
      <c r="E3" t="n">
        <v>4.08</v>
      </c>
      <c r="F3" t="n">
        <v>3.39</v>
      </c>
      <c r="G3" t="n">
        <v>2.3</v>
      </c>
    </row>
    <row r="4">
      <c r="A4" t="inlineStr">
        <is>
          <t>Dest_In date</t>
        </is>
      </c>
      <c r="B4" t="inlineStr">
        <is>
          <t>2026-04-11</t>
        </is>
      </c>
      <c r="C4" t="n">
        <v>4</v>
      </c>
      <c r="D4" t="inlineStr">
        <is>
          <t>71-8003(1), 71-8002(1), 71-5041(1), 71-8001(1)</t>
        </is>
      </c>
      <c r="E4" t="n">
        <v>12.25</v>
      </c>
      <c r="F4" t="n">
        <v>2.58</v>
      </c>
      <c r="G4" t="n">
        <v>1.62</v>
      </c>
    </row>
    <row r="5">
      <c r="A5" t="inlineStr">
        <is>
          <t>Dest_In date</t>
        </is>
      </c>
      <c r="B5" t="inlineStr">
        <is>
          <t>2026-04-12</t>
        </is>
      </c>
      <c r="C5" t="n">
        <v>5</v>
      </c>
      <c r="D5" t="inlineStr">
        <is>
          <t>71-8003(1), 71-8002(1), 71-5041(2), 71-8001(1)</t>
        </is>
      </c>
      <c r="E5" t="n">
        <v>11.77</v>
      </c>
      <c r="F5" t="n">
        <v>2.39</v>
      </c>
      <c r="G5" t="n">
        <v>1.86</v>
      </c>
    </row>
    <row r="6">
      <c r="A6" t="inlineStr">
        <is>
          <t>Dest_In date</t>
        </is>
      </c>
      <c r="B6" t="inlineStr">
        <is>
          <t>2026-04-13</t>
        </is>
      </c>
      <c r="C6" t="n">
        <v>2</v>
      </c>
      <c r="D6" t="inlineStr">
        <is>
          <t>71-5041(2)</t>
        </is>
      </c>
      <c r="E6" t="n">
        <v>5.76</v>
      </c>
      <c r="F6" t="n">
        <v>3.96</v>
      </c>
      <c r="G6" t="n">
        <v>0.68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7" customWidth="1" min="3" max="3"/>
    <col width="60" customWidth="1" min="4" max="4"/>
    <col width="19" customWidth="1" min="5" max="5"/>
    <col width="14" customWidth="1" min="6" max="6"/>
    <col width="17" customWidth="1" min="7" max="7"/>
  </cols>
  <sheetData>
    <row r="1">
      <c r="A1" t="inlineStr">
        <is>
          <t>Date_Basis</t>
        </is>
      </c>
      <c r="B1" t="inlineStr">
        <is>
          <t>Date</t>
        </is>
      </c>
      <c r="C1" t="inlineStr">
        <is>
          <t>Trips</t>
        </is>
      </c>
      <c r="D1" t="inlineStr">
        <is>
          <t>Trucks</t>
        </is>
      </c>
      <c r="E1" t="inlineStr">
        <is>
          <t>Avg_Origin_Wait_h</t>
        </is>
      </c>
      <c r="F1" t="inlineStr">
        <is>
          <t>Avg_Travel_h</t>
        </is>
      </c>
      <c r="G1" t="inlineStr">
        <is>
          <t>Avg_Dest_Wait_h</t>
        </is>
      </c>
    </row>
    <row r="2">
      <c r="A2" t="inlineStr">
        <is>
          <t>Dest_In date</t>
        </is>
      </c>
      <c r="B2" t="inlineStr">
        <is>
          <t>2026-04-10</t>
        </is>
      </c>
      <c r="C2" t="n">
        <v>1</v>
      </c>
      <c r="D2" t="inlineStr">
        <is>
          <t>71-8684(1)</t>
        </is>
      </c>
      <c r="E2" t="n">
        <v>6.24</v>
      </c>
      <c r="F2" t="n">
        <v>3.24</v>
      </c>
      <c r="G2" t="n">
        <v>2.76</v>
      </c>
    </row>
    <row r="3">
      <c r="A3" t="inlineStr">
        <is>
          <t>Dest_In date</t>
        </is>
      </c>
      <c r="B3" t="inlineStr">
        <is>
          <t>2026-04-11</t>
        </is>
      </c>
      <c r="C3" t="n">
        <v>1</v>
      </c>
      <c r="D3" t="inlineStr">
        <is>
          <t>71-8683(1)</t>
        </is>
      </c>
      <c r="E3" t="n">
        <v>12.43</v>
      </c>
      <c r="F3" t="n">
        <v>7.94</v>
      </c>
      <c r="G3" t="n">
        <v>1.21</v>
      </c>
    </row>
    <row r="4">
      <c r="A4" t="inlineStr">
        <is>
          <t>Dest_In date</t>
        </is>
      </c>
      <c r="B4" t="inlineStr">
        <is>
          <t>2026-04-12</t>
        </is>
      </c>
      <c r="C4" t="n">
        <v>1</v>
      </c>
      <c r="D4" t="inlineStr">
        <is>
          <t>71-8684(1)</t>
        </is>
      </c>
      <c r="E4" t="n">
        <v>2.5</v>
      </c>
      <c r="F4" t="n">
        <v>2.27</v>
      </c>
      <c r="G4" t="n">
        <v>0.83</v>
      </c>
    </row>
    <row r="5">
      <c r="A5" t="inlineStr">
        <is>
          <t>Dest_In date</t>
        </is>
      </c>
      <c r="B5" t="inlineStr">
        <is>
          <t>2026-04-13</t>
        </is>
      </c>
      <c r="C5" t="n">
        <v>8</v>
      </c>
      <c r="D5" t="inlineStr">
        <is>
          <t>72-1217(3), 71-9629(2), 71-8681(1), 71-6802(2)</t>
        </is>
      </c>
      <c r="E5" t="n">
        <v>4.14</v>
      </c>
      <c r="F5" t="n">
        <v>3.1</v>
      </c>
      <c r="G5" t="n">
        <v>0.99</v>
      </c>
    </row>
    <row r="6">
      <c r="A6" t="inlineStr">
        <is>
          <t>Dest_In date</t>
        </is>
      </c>
      <c r="B6" t="inlineStr">
        <is>
          <t>2026-04-14</t>
        </is>
      </c>
      <c r="C6" t="n">
        <v>7</v>
      </c>
      <c r="D6" t="inlineStr">
        <is>
          <t>71-9629(3), 71-6802(1), 72-1217(2), 72-1220(1)</t>
        </is>
      </c>
      <c r="E6" t="n">
        <v>3.37</v>
      </c>
      <c r="F6" t="n">
        <v>2.93</v>
      </c>
      <c r="G6" t="n">
        <v>0.92</v>
      </c>
    </row>
    <row r="7">
      <c r="A7" t="inlineStr">
        <is>
          <t>Dest_In date</t>
        </is>
      </c>
      <c r="B7" t="inlineStr">
        <is>
          <t>2026-04-15</t>
        </is>
      </c>
      <c r="C7" t="n">
        <v>8</v>
      </c>
      <c r="D7" t="inlineStr">
        <is>
          <t>71-6802(3), 71-9629(1), 71-8681(1), 72-1217(2), 72-1220(1)</t>
        </is>
      </c>
      <c r="E7" t="n">
        <v>3.79</v>
      </c>
      <c r="F7" t="n">
        <v>2.48</v>
      </c>
      <c r="G7" t="n">
        <v>0.85</v>
      </c>
    </row>
    <row r="8">
      <c r="A8" t="inlineStr">
        <is>
          <t>Dest_In date</t>
        </is>
      </c>
      <c r="B8" t="inlineStr">
        <is>
          <t>2026-04-16</t>
        </is>
      </c>
      <c r="C8" t="n">
        <v>9</v>
      </c>
      <c r="D8" t="inlineStr">
        <is>
          <t>71-9629(3), 71-6802(2), 72-1217(2), 71-8681(1), 71-8967(1)</t>
        </is>
      </c>
      <c r="E8" t="n">
        <v>3.3</v>
      </c>
      <c r="F8" t="n">
        <v>3.55</v>
      </c>
      <c r="G8" t="n">
        <v>0.97</v>
      </c>
    </row>
    <row r="9">
      <c r="A9" t="inlineStr">
        <is>
          <t>Dest_In date</t>
        </is>
      </c>
      <c r="B9" t="inlineStr">
        <is>
          <t>2026-04-17</t>
        </is>
      </c>
      <c r="C9" t="n">
        <v>5</v>
      </c>
      <c r="D9" t="inlineStr">
        <is>
          <t>71-8681(1), 71-6802(1), 71-8967(1), 72-1217(1), 71-9629(1)</t>
        </is>
      </c>
      <c r="E9" t="n">
        <v>2.75</v>
      </c>
      <c r="F9" t="n">
        <v>5.11</v>
      </c>
      <c r="G9" t="n">
        <v>1.26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6" customWidth="1" min="3" max="3"/>
    <col width="9" customWidth="1" min="4" max="4"/>
    <col width="14" customWidth="1" min="5" max="5"/>
    <col width="18" customWidth="1" min="6" max="6"/>
    <col width="17" customWidth="1" min="7" max="7"/>
    <col width="15" customWidth="1" min="8" max="8"/>
    <col width="16" customWidth="1" min="9" max="9"/>
    <col width="20" customWidth="1" min="10" max="10"/>
    <col width="19" customWidth="1" min="11" max="11"/>
  </cols>
  <sheetData>
    <row r="1">
      <c r="A1" t="inlineStr">
        <is>
          <t>Date_Basis</t>
        </is>
      </c>
      <c r="B1" t="inlineStr">
        <is>
          <t>Date</t>
        </is>
      </c>
      <c r="C1" t="inlineStr">
        <is>
          <t>Site</t>
        </is>
      </c>
      <c r="D1" t="inlineStr">
        <is>
          <t>Plate</t>
        </is>
      </c>
      <c r="E1" t="inlineStr">
        <is>
          <t>Actual_Trips</t>
        </is>
      </c>
      <c r="F1" t="inlineStr">
        <is>
          <t>Commit_Min_Trips</t>
        </is>
      </c>
      <c r="G1" t="inlineStr">
        <is>
          <t>Shortfall_Trips</t>
        </is>
      </c>
      <c r="H1" t="inlineStr">
        <is>
          <t>Rate_per_Trip</t>
        </is>
      </c>
      <c r="I1" t="inlineStr">
        <is>
          <t>Actual_Freight</t>
        </is>
      </c>
      <c r="J1" t="inlineStr">
        <is>
          <t>Commit_Min_Freight</t>
        </is>
      </c>
      <c r="K1" t="inlineStr">
        <is>
          <t>Extra_Charge_Min2</t>
        </is>
      </c>
    </row>
    <row r="2">
      <c r="A2" t="inlineStr">
        <is>
          <t>Dest_In date</t>
        </is>
      </c>
      <c r="B2" t="inlineStr">
        <is>
          <t>2026-04-09</t>
        </is>
      </c>
      <c r="C2" t="inlineStr">
        <is>
          <t>BigC</t>
        </is>
      </c>
      <c r="D2" t="inlineStr">
        <is>
          <t>71-8001</t>
        </is>
      </c>
      <c r="E2" t="n">
        <v>2</v>
      </c>
      <c r="F2" t="n">
        <v>2</v>
      </c>
      <c r="G2" t="n">
        <v>0</v>
      </c>
      <c r="H2" t="n">
        <v>7500</v>
      </c>
      <c r="I2" t="n">
        <v>15000</v>
      </c>
      <c r="J2" t="n">
        <v>15000</v>
      </c>
      <c r="K2" t="n">
        <v>0</v>
      </c>
    </row>
    <row r="3">
      <c r="A3" t="inlineStr">
        <is>
          <t>Dest_In date</t>
        </is>
      </c>
      <c r="B3" t="inlineStr">
        <is>
          <t>2026-04-09</t>
        </is>
      </c>
      <c r="C3" t="inlineStr">
        <is>
          <t>BigC</t>
        </is>
      </c>
      <c r="D3" t="inlineStr">
        <is>
          <t>71-8002</t>
        </is>
      </c>
      <c r="E3" t="n">
        <v>1</v>
      </c>
      <c r="F3" t="n">
        <v>2</v>
      </c>
      <c r="G3" t="n">
        <v>1</v>
      </c>
      <c r="H3" t="n">
        <v>7500</v>
      </c>
      <c r="I3" t="n">
        <v>7500</v>
      </c>
      <c r="J3" t="n">
        <v>15000</v>
      </c>
      <c r="K3" t="n">
        <v>7500</v>
      </c>
    </row>
    <row r="4">
      <c r="A4" t="inlineStr">
        <is>
          <t>Dest_In date</t>
        </is>
      </c>
      <c r="B4" t="inlineStr">
        <is>
          <t>2026-04-10</t>
        </is>
      </c>
      <c r="C4" t="inlineStr">
        <is>
          <t>BigC</t>
        </is>
      </c>
      <c r="D4" t="inlineStr">
        <is>
          <t>71-8001</t>
        </is>
      </c>
      <c r="E4" t="n">
        <v>2</v>
      </c>
      <c r="F4" t="n">
        <v>2</v>
      </c>
      <c r="G4" t="n">
        <v>0</v>
      </c>
      <c r="H4" t="n">
        <v>7500</v>
      </c>
      <c r="I4" t="n">
        <v>15000</v>
      </c>
      <c r="J4" t="n">
        <v>15000</v>
      </c>
      <c r="K4" t="n">
        <v>0</v>
      </c>
    </row>
    <row r="5">
      <c r="A5" t="inlineStr">
        <is>
          <t>Dest_In date</t>
        </is>
      </c>
      <c r="B5" t="inlineStr">
        <is>
          <t>2026-04-10</t>
        </is>
      </c>
      <c r="C5" t="inlineStr">
        <is>
          <t>BigC</t>
        </is>
      </c>
      <c r="D5" t="inlineStr">
        <is>
          <t>71-8002</t>
        </is>
      </c>
      <c r="E5" t="n">
        <v>2</v>
      </c>
      <c r="F5" t="n">
        <v>2</v>
      </c>
      <c r="G5" t="n">
        <v>0</v>
      </c>
      <c r="H5" t="n">
        <v>7500</v>
      </c>
      <c r="I5" t="n">
        <v>15000</v>
      </c>
      <c r="J5" t="n">
        <v>15000</v>
      </c>
      <c r="K5" t="n">
        <v>0</v>
      </c>
    </row>
    <row r="6">
      <c r="A6" t="inlineStr">
        <is>
          <t>Dest_In date</t>
        </is>
      </c>
      <c r="B6" t="inlineStr">
        <is>
          <t>2026-04-10</t>
        </is>
      </c>
      <c r="C6" t="inlineStr">
        <is>
          <t>BigC</t>
        </is>
      </c>
      <c r="D6" t="inlineStr">
        <is>
          <t>71-8003</t>
        </is>
      </c>
      <c r="E6" t="n">
        <v>1</v>
      </c>
      <c r="F6" t="n">
        <v>2</v>
      </c>
      <c r="G6" t="n">
        <v>1</v>
      </c>
      <c r="H6" t="n">
        <v>7500</v>
      </c>
      <c r="I6" t="n">
        <v>7500</v>
      </c>
      <c r="J6" t="n">
        <v>15000</v>
      </c>
      <c r="K6" t="n">
        <v>7500</v>
      </c>
    </row>
    <row r="7">
      <c r="A7" t="inlineStr">
        <is>
          <t>Dest_In date</t>
        </is>
      </c>
      <c r="B7" t="inlineStr">
        <is>
          <t>2026-04-10</t>
        </is>
      </c>
      <c r="C7" t="inlineStr">
        <is>
          <t>LCB</t>
        </is>
      </c>
      <c r="D7" t="inlineStr">
        <is>
          <t>71-8684</t>
        </is>
      </c>
      <c r="E7" t="n">
        <v>1</v>
      </c>
      <c r="F7" t="n">
        <v>2</v>
      </c>
      <c r="G7" t="n">
        <v>1</v>
      </c>
      <c r="H7" t="n">
        <v>7500</v>
      </c>
      <c r="I7" t="n">
        <v>7500</v>
      </c>
      <c r="J7" t="n">
        <v>15000</v>
      </c>
      <c r="K7" t="n">
        <v>7500</v>
      </c>
    </row>
    <row r="8">
      <c r="A8" t="inlineStr">
        <is>
          <t>Dest_In date</t>
        </is>
      </c>
      <c r="B8" t="inlineStr">
        <is>
          <t>2026-04-11</t>
        </is>
      </c>
      <c r="C8" t="inlineStr">
        <is>
          <t>BigC</t>
        </is>
      </c>
      <c r="D8" t="inlineStr">
        <is>
          <t>71-5041</t>
        </is>
      </c>
      <c r="E8" t="n">
        <v>1</v>
      </c>
      <c r="F8" t="n">
        <v>2</v>
      </c>
      <c r="G8" t="n">
        <v>1</v>
      </c>
      <c r="H8" t="n">
        <v>7500</v>
      </c>
      <c r="I8" t="n">
        <v>7500</v>
      </c>
      <c r="J8" t="n">
        <v>15000</v>
      </c>
      <c r="K8" t="n">
        <v>7500</v>
      </c>
    </row>
    <row r="9">
      <c r="A9" t="inlineStr">
        <is>
          <t>Dest_In date</t>
        </is>
      </c>
      <c r="B9" t="inlineStr">
        <is>
          <t>2026-04-11</t>
        </is>
      </c>
      <c r="C9" t="inlineStr">
        <is>
          <t>BigC</t>
        </is>
      </c>
      <c r="D9" t="inlineStr">
        <is>
          <t>71-8001</t>
        </is>
      </c>
      <c r="E9" t="n">
        <v>1</v>
      </c>
      <c r="F9" t="n">
        <v>2</v>
      </c>
      <c r="G9" t="n">
        <v>1</v>
      </c>
      <c r="H9" t="n">
        <v>7500</v>
      </c>
      <c r="I9" t="n">
        <v>7500</v>
      </c>
      <c r="J9" t="n">
        <v>15000</v>
      </c>
      <c r="K9" t="n">
        <v>7500</v>
      </c>
    </row>
    <row r="10">
      <c r="A10" t="inlineStr">
        <is>
          <t>Dest_In date</t>
        </is>
      </c>
      <c r="B10" t="inlineStr">
        <is>
          <t>2026-04-11</t>
        </is>
      </c>
      <c r="C10" t="inlineStr">
        <is>
          <t>BigC</t>
        </is>
      </c>
      <c r="D10" t="inlineStr">
        <is>
          <t>71-8002</t>
        </is>
      </c>
      <c r="E10" t="n">
        <v>1</v>
      </c>
      <c r="F10" t="n">
        <v>2</v>
      </c>
      <c r="G10" t="n">
        <v>1</v>
      </c>
      <c r="H10" t="n">
        <v>7500</v>
      </c>
      <c r="I10" t="n">
        <v>7500</v>
      </c>
      <c r="J10" t="n">
        <v>15000</v>
      </c>
      <c r="K10" t="n">
        <v>7500</v>
      </c>
    </row>
    <row r="11">
      <c r="A11" t="inlineStr">
        <is>
          <t>Dest_In date</t>
        </is>
      </c>
      <c r="B11" t="inlineStr">
        <is>
          <t>2026-04-11</t>
        </is>
      </c>
      <c r="C11" t="inlineStr">
        <is>
          <t>BigC</t>
        </is>
      </c>
      <c r="D11" t="inlineStr">
        <is>
          <t>71-8003</t>
        </is>
      </c>
      <c r="E11" t="n">
        <v>1</v>
      </c>
      <c r="F11" t="n">
        <v>2</v>
      </c>
      <c r="G11" t="n">
        <v>1</v>
      </c>
      <c r="H11" t="n">
        <v>7500</v>
      </c>
      <c r="I11" t="n">
        <v>7500</v>
      </c>
      <c r="J11" t="n">
        <v>15000</v>
      </c>
      <c r="K11" t="n">
        <v>7500</v>
      </c>
    </row>
    <row r="12">
      <c r="A12" t="inlineStr">
        <is>
          <t>Dest_In date</t>
        </is>
      </c>
      <c r="B12" t="inlineStr">
        <is>
          <t>2026-04-11</t>
        </is>
      </c>
      <c r="C12" t="inlineStr">
        <is>
          <t>LCB</t>
        </is>
      </c>
      <c r="D12" t="inlineStr">
        <is>
          <t>71-8683</t>
        </is>
      </c>
      <c r="E12" t="n">
        <v>1</v>
      </c>
      <c r="F12" t="n">
        <v>2</v>
      </c>
      <c r="G12" t="n">
        <v>1</v>
      </c>
      <c r="H12" t="n">
        <v>7500</v>
      </c>
      <c r="I12" t="n">
        <v>7500</v>
      </c>
      <c r="J12" t="n">
        <v>15000</v>
      </c>
      <c r="K12" t="n">
        <v>7500</v>
      </c>
    </row>
    <row r="13">
      <c r="A13" t="inlineStr">
        <is>
          <t>Dest_In date</t>
        </is>
      </c>
      <c r="B13" t="inlineStr">
        <is>
          <t>2026-04-12</t>
        </is>
      </c>
      <c r="C13" t="inlineStr">
        <is>
          <t>BigC</t>
        </is>
      </c>
      <c r="D13" t="inlineStr">
        <is>
          <t>71-5041</t>
        </is>
      </c>
      <c r="E13" t="n">
        <v>2</v>
      </c>
      <c r="F13" t="n">
        <v>2</v>
      </c>
      <c r="G13" t="n">
        <v>0</v>
      </c>
      <c r="H13" t="n">
        <v>8000</v>
      </c>
      <c r="I13" t="n">
        <v>16000</v>
      </c>
      <c r="J13" t="n">
        <v>16000</v>
      </c>
      <c r="K13" t="n">
        <v>0</v>
      </c>
    </row>
    <row r="14">
      <c r="A14" t="inlineStr">
        <is>
          <t>Dest_In date</t>
        </is>
      </c>
      <c r="B14" t="inlineStr">
        <is>
          <t>2026-04-12</t>
        </is>
      </c>
      <c r="C14" t="inlineStr">
        <is>
          <t>BigC</t>
        </is>
      </c>
      <c r="D14" t="inlineStr">
        <is>
          <t>71-8001</t>
        </is>
      </c>
      <c r="E14" t="n">
        <v>1</v>
      </c>
      <c r="F14" t="n">
        <v>2</v>
      </c>
      <c r="G14" t="n">
        <v>1</v>
      </c>
      <c r="H14" t="n">
        <v>8000</v>
      </c>
      <c r="I14" t="n">
        <v>8000</v>
      </c>
      <c r="J14" t="n">
        <v>16000</v>
      </c>
      <c r="K14" t="n">
        <v>8000</v>
      </c>
    </row>
    <row r="15">
      <c r="A15" t="inlineStr">
        <is>
          <t>Dest_In date</t>
        </is>
      </c>
      <c r="B15" t="inlineStr">
        <is>
          <t>2026-04-12</t>
        </is>
      </c>
      <c r="C15" t="inlineStr">
        <is>
          <t>BigC</t>
        </is>
      </c>
      <c r="D15" t="inlineStr">
        <is>
          <t>71-8002</t>
        </is>
      </c>
      <c r="E15" t="n">
        <v>1</v>
      </c>
      <c r="F15" t="n">
        <v>2</v>
      </c>
      <c r="G15" t="n">
        <v>1</v>
      </c>
      <c r="H15" t="n">
        <v>8000</v>
      </c>
      <c r="I15" t="n">
        <v>8000</v>
      </c>
      <c r="J15" t="n">
        <v>16000</v>
      </c>
      <c r="K15" t="n">
        <v>8000</v>
      </c>
    </row>
    <row r="16">
      <c r="A16" t="inlineStr">
        <is>
          <t>Dest_In date</t>
        </is>
      </c>
      <c r="B16" t="inlineStr">
        <is>
          <t>2026-04-12</t>
        </is>
      </c>
      <c r="C16" t="inlineStr">
        <is>
          <t>BigC</t>
        </is>
      </c>
      <c r="D16" t="inlineStr">
        <is>
          <t>71-8003</t>
        </is>
      </c>
      <c r="E16" t="n">
        <v>1</v>
      </c>
      <c r="F16" t="n">
        <v>2</v>
      </c>
      <c r="G16" t="n">
        <v>1</v>
      </c>
      <c r="H16" t="n">
        <v>8000</v>
      </c>
      <c r="I16" t="n">
        <v>8000</v>
      </c>
      <c r="J16" t="n">
        <v>16000</v>
      </c>
      <c r="K16" t="n">
        <v>8000</v>
      </c>
    </row>
    <row r="17">
      <c r="A17" t="inlineStr">
        <is>
          <t>Dest_In date</t>
        </is>
      </c>
      <c r="B17" t="inlineStr">
        <is>
          <t>2026-04-12</t>
        </is>
      </c>
      <c r="C17" t="inlineStr">
        <is>
          <t>LCB</t>
        </is>
      </c>
      <c r="D17" t="inlineStr">
        <is>
          <t>71-8684</t>
        </is>
      </c>
      <c r="E17" t="n">
        <v>1</v>
      </c>
      <c r="F17" t="n">
        <v>2</v>
      </c>
      <c r="G17" t="n">
        <v>1</v>
      </c>
      <c r="H17" t="n">
        <v>8000</v>
      </c>
      <c r="I17" t="n">
        <v>8000</v>
      </c>
      <c r="J17" t="n">
        <v>16000</v>
      </c>
      <c r="K17" t="n">
        <v>8000</v>
      </c>
    </row>
    <row r="18">
      <c r="A18" t="inlineStr">
        <is>
          <t>Dest_In date</t>
        </is>
      </c>
      <c r="B18" t="inlineStr">
        <is>
          <t>2026-04-13</t>
        </is>
      </c>
      <c r="C18" t="inlineStr">
        <is>
          <t>BigC</t>
        </is>
      </c>
      <c r="D18" t="inlineStr">
        <is>
          <t>71-5041</t>
        </is>
      </c>
      <c r="E18" t="n">
        <v>2</v>
      </c>
      <c r="F18" t="n">
        <v>2</v>
      </c>
      <c r="G18" t="n">
        <v>0</v>
      </c>
      <c r="H18" t="n">
        <v>8000</v>
      </c>
      <c r="I18" t="n">
        <v>16000</v>
      </c>
      <c r="J18" t="n">
        <v>16000</v>
      </c>
      <c r="K18" t="n">
        <v>0</v>
      </c>
    </row>
    <row r="19">
      <c r="A19" t="inlineStr">
        <is>
          <t>Dest_In date</t>
        </is>
      </c>
      <c r="B19" t="inlineStr">
        <is>
          <t>2026-04-13</t>
        </is>
      </c>
      <c r="C19" t="inlineStr">
        <is>
          <t>LCB</t>
        </is>
      </c>
      <c r="D19" t="inlineStr">
        <is>
          <t>71-6802</t>
        </is>
      </c>
      <c r="E19" t="n">
        <v>2</v>
      </c>
      <c r="F19" t="n">
        <v>2</v>
      </c>
      <c r="G19" t="n">
        <v>0</v>
      </c>
      <c r="H19" t="n">
        <v>8000</v>
      </c>
      <c r="I19" t="n">
        <v>16000</v>
      </c>
      <c r="J19" t="n">
        <v>16000</v>
      </c>
      <c r="K19" t="n">
        <v>0</v>
      </c>
    </row>
    <row r="20">
      <c r="A20" t="inlineStr">
        <is>
          <t>Dest_In date</t>
        </is>
      </c>
      <c r="B20" t="inlineStr">
        <is>
          <t>2026-04-13</t>
        </is>
      </c>
      <c r="C20" t="inlineStr">
        <is>
          <t>LCB</t>
        </is>
      </c>
      <c r="D20" t="inlineStr">
        <is>
          <t>71-8681</t>
        </is>
      </c>
      <c r="E20" t="n">
        <v>1</v>
      </c>
      <c r="F20" t="n">
        <v>2</v>
      </c>
      <c r="G20" t="n">
        <v>1</v>
      </c>
      <c r="H20" t="n">
        <v>8000</v>
      </c>
      <c r="I20" t="n">
        <v>8000</v>
      </c>
      <c r="J20" t="n">
        <v>16000</v>
      </c>
      <c r="K20" t="n">
        <v>8000</v>
      </c>
    </row>
    <row r="21">
      <c r="A21" t="inlineStr">
        <is>
          <t>Dest_In date</t>
        </is>
      </c>
      <c r="B21" t="inlineStr">
        <is>
          <t>2026-04-13</t>
        </is>
      </c>
      <c r="C21" t="inlineStr">
        <is>
          <t>LCB</t>
        </is>
      </c>
      <c r="D21" t="inlineStr">
        <is>
          <t>71-9629</t>
        </is>
      </c>
      <c r="E21" t="n">
        <v>2</v>
      </c>
      <c r="F21" t="n">
        <v>2</v>
      </c>
      <c r="G21" t="n">
        <v>0</v>
      </c>
      <c r="H21" t="n">
        <v>8000</v>
      </c>
      <c r="I21" t="n">
        <v>16000</v>
      </c>
      <c r="J21" t="n">
        <v>16000</v>
      </c>
      <c r="K21" t="n">
        <v>0</v>
      </c>
    </row>
    <row r="22">
      <c r="A22" t="inlineStr">
        <is>
          <t>Dest_In date</t>
        </is>
      </c>
      <c r="B22" t="inlineStr">
        <is>
          <t>2026-04-13</t>
        </is>
      </c>
      <c r="C22" t="inlineStr">
        <is>
          <t>LCB</t>
        </is>
      </c>
      <c r="D22" t="inlineStr">
        <is>
          <t>72-1217</t>
        </is>
      </c>
      <c r="E22" t="n">
        <v>3</v>
      </c>
      <c r="F22" t="n">
        <v>2</v>
      </c>
      <c r="G22" t="n">
        <v>0</v>
      </c>
      <c r="H22" t="n">
        <v>8000</v>
      </c>
      <c r="I22" t="n">
        <v>24000</v>
      </c>
      <c r="J22" t="n">
        <v>16000</v>
      </c>
      <c r="K22" t="n">
        <v>0</v>
      </c>
    </row>
    <row r="23">
      <c r="A23" t="inlineStr">
        <is>
          <t>Dest_In date</t>
        </is>
      </c>
      <c r="B23" t="inlineStr">
        <is>
          <t>2026-04-14</t>
        </is>
      </c>
      <c r="C23" t="inlineStr">
        <is>
          <t>LCB</t>
        </is>
      </c>
      <c r="D23" t="inlineStr">
        <is>
          <t>71-6802</t>
        </is>
      </c>
      <c r="E23" t="n">
        <v>1</v>
      </c>
      <c r="F23" t="n">
        <v>2</v>
      </c>
      <c r="G23" t="n">
        <v>1</v>
      </c>
      <c r="H23" t="n">
        <v>8000</v>
      </c>
      <c r="I23" t="n">
        <v>8000</v>
      </c>
      <c r="J23" t="n">
        <v>16000</v>
      </c>
      <c r="K23" t="n">
        <v>8000</v>
      </c>
    </row>
    <row r="24">
      <c r="A24" t="inlineStr">
        <is>
          <t>Dest_In date</t>
        </is>
      </c>
      <c r="B24" t="inlineStr">
        <is>
          <t>2026-04-14</t>
        </is>
      </c>
      <c r="C24" t="inlineStr">
        <is>
          <t>LCB</t>
        </is>
      </c>
      <c r="D24" t="inlineStr">
        <is>
          <t>71-9629</t>
        </is>
      </c>
      <c r="E24" t="n">
        <v>3</v>
      </c>
      <c r="F24" t="n">
        <v>2</v>
      </c>
      <c r="G24" t="n">
        <v>0</v>
      </c>
      <c r="H24" t="n">
        <v>8000</v>
      </c>
      <c r="I24" t="n">
        <v>24000</v>
      </c>
      <c r="J24" t="n">
        <v>16000</v>
      </c>
      <c r="K24" t="n">
        <v>0</v>
      </c>
    </row>
    <row r="25">
      <c r="A25" t="inlineStr">
        <is>
          <t>Dest_In date</t>
        </is>
      </c>
      <c r="B25" t="inlineStr">
        <is>
          <t>2026-04-14</t>
        </is>
      </c>
      <c r="C25" t="inlineStr">
        <is>
          <t>LCB</t>
        </is>
      </c>
      <c r="D25" t="inlineStr">
        <is>
          <t>72-1217</t>
        </is>
      </c>
      <c r="E25" t="n">
        <v>2</v>
      </c>
      <c r="F25" t="n">
        <v>2</v>
      </c>
      <c r="G25" t="n">
        <v>0</v>
      </c>
      <c r="H25" t="n">
        <v>8000</v>
      </c>
      <c r="I25" t="n">
        <v>16000</v>
      </c>
      <c r="J25" t="n">
        <v>16000</v>
      </c>
      <c r="K25" t="n">
        <v>0</v>
      </c>
    </row>
    <row r="26">
      <c r="A26" t="inlineStr">
        <is>
          <t>Dest_In date</t>
        </is>
      </c>
      <c r="B26" t="inlineStr">
        <is>
          <t>2026-04-14</t>
        </is>
      </c>
      <c r="C26" t="inlineStr">
        <is>
          <t>LCB</t>
        </is>
      </c>
      <c r="D26" t="inlineStr">
        <is>
          <t>72-1220</t>
        </is>
      </c>
      <c r="E26" t="n">
        <v>1</v>
      </c>
      <c r="F26" t="n">
        <v>2</v>
      </c>
      <c r="G26" t="n">
        <v>1</v>
      </c>
      <c r="H26" t="n">
        <v>8000</v>
      </c>
      <c r="I26" t="n">
        <v>8000</v>
      </c>
      <c r="J26" t="n">
        <v>16000</v>
      </c>
      <c r="K26" t="n">
        <v>8000</v>
      </c>
    </row>
    <row r="27">
      <c r="A27" t="inlineStr">
        <is>
          <t>Dest_In date</t>
        </is>
      </c>
      <c r="B27" t="inlineStr">
        <is>
          <t>2026-04-15</t>
        </is>
      </c>
      <c r="C27" t="inlineStr">
        <is>
          <t>LCB</t>
        </is>
      </c>
      <c r="D27" t="inlineStr">
        <is>
          <t>71-6802</t>
        </is>
      </c>
      <c r="E27" t="n">
        <v>3</v>
      </c>
      <c r="F27" t="n">
        <v>2</v>
      </c>
      <c r="G27" t="n">
        <v>0</v>
      </c>
      <c r="H27" t="n">
        <v>8000</v>
      </c>
      <c r="I27" t="n">
        <v>24000</v>
      </c>
      <c r="J27" t="n">
        <v>16000</v>
      </c>
      <c r="K27" t="n">
        <v>0</v>
      </c>
    </row>
    <row r="28">
      <c r="A28" t="inlineStr">
        <is>
          <t>Dest_In date</t>
        </is>
      </c>
      <c r="B28" t="inlineStr">
        <is>
          <t>2026-04-15</t>
        </is>
      </c>
      <c r="C28" t="inlineStr">
        <is>
          <t>LCB</t>
        </is>
      </c>
      <c r="D28" t="inlineStr">
        <is>
          <t>71-8681</t>
        </is>
      </c>
      <c r="E28" t="n">
        <v>1</v>
      </c>
      <c r="F28" t="n">
        <v>2</v>
      </c>
      <c r="G28" t="n">
        <v>1</v>
      </c>
      <c r="H28" t="n">
        <v>8000</v>
      </c>
      <c r="I28" t="n">
        <v>8000</v>
      </c>
      <c r="J28" t="n">
        <v>16000</v>
      </c>
      <c r="K28" t="n">
        <v>8000</v>
      </c>
    </row>
    <row r="29">
      <c r="A29" t="inlineStr">
        <is>
          <t>Dest_In date</t>
        </is>
      </c>
      <c r="B29" t="inlineStr">
        <is>
          <t>2026-04-15</t>
        </is>
      </c>
      <c r="C29" t="inlineStr">
        <is>
          <t>LCB</t>
        </is>
      </c>
      <c r="D29" t="inlineStr">
        <is>
          <t>71-9629</t>
        </is>
      </c>
      <c r="E29" t="n">
        <v>1</v>
      </c>
      <c r="F29" t="n">
        <v>2</v>
      </c>
      <c r="G29" t="n">
        <v>1</v>
      </c>
      <c r="H29" t="n">
        <v>8000</v>
      </c>
      <c r="I29" t="n">
        <v>8000</v>
      </c>
      <c r="J29" t="n">
        <v>16000</v>
      </c>
      <c r="K29" t="n">
        <v>8000</v>
      </c>
    </row>
    <row r="30">
      <c r="A30" t="inlineStr">
        <is>
          <t>Dest_In date</t>
        </is>
      </c>
      <c r="B30" t="inlineStr">
        <is>
          <t>2026-04-15</t>
        </is>
      </c>
      <c r="C30" t="inlineStr">
        <is>
          <t>LCB</t>
        </is>
      </c>
      <c r="D30" t="inlineStr">
        <is>
          <t>72-1217</t>
        </is>
      </c>
      <c r="E30" t="n">
        <v>2</v>
      </c>
      <c r="F30" t="n">
        <v>2</v>
      </c>
      <c r="G30" t="n">
        <v>0</v>
      </c>
      <c r="H30" t="n">
        <v>8000</v>
      </c>
      <c r="I30" t="n">
        <v>16000</v>
      </c>
      <c r="J30" t="n">
        <v>16000</v>
      </c>
      <c r="K30" t="n">
        <v>0</v>
      </c>
    </row>
    <row r="31">
      <c r="A31" t="inlineStr">
        <is>
          <t>Dest_In date</t>
        </is>
      </c>
      <c r="B31" t="inlineStr">
        <is>
          <t>2026-04-15</t>
        </is>
      </c>
      <c r="C31" t="inlineStr">
        <is>
          <t>LCB</t>
        </is>
      </c>
      <c r="D31" t="inlineStr">
        <is>
          <t>72-1220</t>
        </is>
      </c>
      <c r="E31" t="n">
        <v>1</v>
      </c>
      <c r="F31" t="n">
        <v>2</v>
      </c>
      <c r="G31" t="n">
        <v>1</v>
      </c>
      <c r="H31" t="n">
        <v>8000</v>
      </c>
      <c r="I31" t="n">
        <v>8000</v>
      </c>
      <c r="J31" t="n">
        <v>16000</v>
      </c>
      <c r="K31" t="n">
        <v>8000</v>
      </c>
    </row>
    <row r="32">
      <c r="A32" t="inlineStr">
        <is>
          <t>Dest_In date</t>
        </is>
      </c>
      <c r="B32" t="inlineStr">
        <is>
          <t>2026-04-16</t>
        </is>
      </c>
      <c r="C32" t="inlineStr">
        <is>
          <t>LCB</t>
        </is>
      </c>
      <c r="D32" t="inlineStr">
        <is>
          <t>71-6802</t>
        </is>
      </c>
      <c r="E32" t="n">
        <v>2</v>
      </c>
      <c r="F32" t="n">
        <v>2</v>
      </c>
      <c r="G32" t="n">
        <v>0</v>
      </c>
    </row>
    <row r="33">
      <c r="A33" t="inlineStr">
        <is>
          <t>Dest_In date</t>
        </is>
      </c>
      <c r="B33" t="inlineStr">
        <is>
          <t>2026-04-16</t>
        </is>
      </c>
      <c r="C33" t="inlineStr">
        <is>
          <t>LCB</t>
        </is>
      </c>
      <c r="D33" t="inlineStr">
        <is>
          <t>71-8681</t>
        </is>
      </c>
      <c r="E33" t="n">
        <v>1</v>
      </c>
      <c r="F33" t="n">
        <v>2</v>
      </c>
      <c r="G33" t="n">
        <v>1</v>
      </c>
    </row>
    <row r="34">
      <c r="A34" t="inlineStr">
        <is>
          <t>Dest_In date</t>
        </is>
      </c>
      <c r="B34" t="inlineStr">
        <is>
          <t>2026-04-16</t>
        </is>
      </c>
      <c r="C34" t="inlineStr">
        <is>
          <t>LCB</t>
        </is>
      </c>
      <c r="D34" t="inlineStr">
        <is>
          <t>71-8967</t>
        </is>
      </c>
      <c r="E34" t="n">
        <v>1</v>
      </c>
      <c r="F34" t="n">
        <v>2</v>
      </c>
      <c r="G34" t="n">
        <v>1</v>
      </c>
    </row>
    <row r="35">
      <c r="A35" t="inlineStr">
        <is>
          <t>Dest_In date</t>
        </is>
      </c>
      <c r="B35" t="inlineStr">
        <is>
          <t>2026-04-16</t>
        </is>
      </c>
      <c r="C35" t="inlineStr">
        <is>
          <t>LCB</t>
        </is>
      </c>
      <c r="D35" t="inlineStr">
        <is>
          <t>71-9629</t>
        </is>
      </c>
      <c r="E35" t="n">
        <v>3</v>
      </c>
      <c r="F35" t="n">
        <v>2</v>
      </c>
      <c r="G35" t="n">
        <v>0</v>
      </c>
    </row>
    <row r="36">
      <c r="A36" t="inlineStr">
        <is>
          <t>Dest_In date</t>
        </is>
      </c>
      <c r="B36" t="inlineStr">
        <is>
          <t>2026-04-16</t>
        </is>
      </c>
      <c r="C36" t="inlineStr">
        <is>
          <t>LCB</t>
        </is>
      </c>
      <c r="D36" t="inlineStr">
        <is>
          <t>72-1217</t>
        </is>
      </c>
      <c r="E36" t="n">
        <v>2</v>
      </c>
      <c r="F36" t="n">
        <v>2</v>
      </c>
      <c r="G36" t="n">
        <v>0</v>
      </c>
    </row>
    <row r="37">
      <c r="A37" t="inlineStr">
        <is>
          <t>Dest_In date</t>
        </is>
      </c>
      <c r="B37" t="inlineStr">
        <is>
          <t>2026-04-17</t>
        </is>
      </c>
      <c r="C37" t="inlineStr">
        <is>
          <t>LCB</t>
        </is>
      </c>
      <c r="D37" t="inlineStr">
        <is>
          <t>71-6802</t>
        </is>
      </c>
      <c r="E37" t="n">
        <v>1</v>
      </c>
      <c r="F37" t="n">
        <v>2</v>
      </c>
      <c r="G37" t="n">
        <v>1</v>
      </c>
    </row>
    <row r="38">
      <c r="A38" t="inlineStr">
        <is>
          <t>Dest_In date</t>
        </is>
      </c>
      <c r="B38" t="inlineStr">
        <is>
          <t>2026-04-17</t>
        </is>
      </c>
      <c r="C38" t="inlineStr">
        <is>
          <t>LCB</t>
        </is>
      </c>
      <c r="D38" t="inlineStr">
        <is>
          <t>71-8681</t>
        </is>
      </c>
      <c r="E38" t="n">
        <v>1</v>
      </c>
      <c r="F38" t="n">
        <v>2</v>
      </c>
      <c r="G38" t="n">
        <v>1</v>
      </c>
    </row>
    <row r="39">
      <c r="A39" t="inlineStr">
        <is>
          <t>Dest_In date</t>
        </is>
      </c>
      <c r="B39" t="inlineStr">
        <is>
          <t>2026-04-17</t>
        </is>
      </c>
      <c r="C39" t="inlineStr">
        <is>
          <t>LCB</t>
        </is>
      </c>
      <c r="D39" t="inlineStr">
        <is>
          <t>71-8967</t>
        </is>
      </c>
      <c r="E39" t="n">
        <v>1</v>
      </c>
      <c r="F39" t="n">
        <v>2</v>
      </c>
      <c r="G39" t="n">
        <v>1</v>
      </c>
    </row>
    <row r="40">
      <c r="A40" t="inlineStr">
        <is>
          <t>Dest_In date</t>
        </is>
      </c>
      <c r="B40" t="inlineStr">
        <is>
          <t>2026-04-17</t>
        </is>
      </c>
      <c r="C40" t="inlineStr">
        <is>
          <t>LCB</t>
        </is>
      </c>
      <c r="D40" t="inlineStr">
        <is>
          <t>71-9629</t>
        </is>
      </c>
      <c r="E40" t="n">
        <v>1</v>
      </c>
      <c r="F40" t="n">
        <v>2</v>
      </c>
      <c r="G40" t="n">
        <v>1</v>
      </c>
    </row>
    <row r="41">
      <c r="A41" t="inlineStr">
        <is>
          <t>Dest_In date</t>
        </is>
      </c>
      <c r="B41" t="inlineStr">
        <is>
          <t>2026-04-17</t>
        </is>
      </c>
      <c r="C41" t="inlineStr">
        <is>
          <t>LCB</t>
        </is>
      </c>
      <c r="D41" t="inlineStr">
        <is>
          <t>72-1217</t>
        </is>
      </c>
      <c r="E41" t="n">
        <v>1</v>
      </c>
      <c r="F41" t="n">
        <v>2</v>
      </c>
      <c r="G41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6" customWidth="1" min="3" max="3"/>
    <col width="15" customWidth="1" min="4" max="4"/>
    <col width="14" customWidth="1" min="5" max="5"/>
    <col width="18" customWidth="1" min="6" max="6"/>
    <col width="17" customWidth="1" min="7" max="7"/>
    <col width="15" customWidth="1" min="8" max="8"/>
    <col width="16" customWidth="1" min="9" max="9"/>
    <col width="20" customWidth="1" min="10" max="10"/>
    <col width="19" customWidth="1" min="11" max="11"/>
  </cols>
  <sheetData>
    <row r="1">
      <c r="A1" t="inlineStr">
        <is>
          <t>Date_Basis</t>
        </is>
      </c>
      <c r="B1" t="inlineStr">
        <is>
          <t>Date</t>
        </is>
      </c>
      <c r="C1" t="inlineStr">
        <is>
          <t>Site</t>
        </is>
      </c>
      <c r="D1" t="inlineStr">
        <is>
          <t>Active_Trucks</t>
        </is>
      </c>
      <c r="E1" t="inlineStr">
        <is>
          <t>Actual_Trips</t>
        </is>
      </c>
      <c r="F1" t="inlineStr">
        <is>
          <t>Commit_Min_Trips</t>
        </is>
      </c>
      <c r="G1" t="inlineStr">
        <is>
          <t>Shortfall_Trips</t>
        </is>
      </c>
      <c r="H1" t="inlineStr">
        <is>
          <t>Rate_per_Trip</t>
        </is>
      </c>
      <c r="I1" t="inlineStr">
        <is>
          <t>Actual_Freight</t>
        </is>
      </c>
      <c r="J1" t="inlineStr">
        <is>
          <t>Commit_Min_Freight</t>
        </is>
      </c>
      <c r="K1" t="inlineStr">
        <is>
          <t>Extra_Charge_Min2</t>
        </is>
      </c>
    </row>
    <row r="2">
      <c r="A2" t="inlineStr">
        <is>
          <t>Dest_In date</t>
        </is>
      </c>
      <c r="B2" t="inlineStr">
        <is>
          <t>2026-04-09</t>
        </is>
      </c>
      <c r="C2" t="inlineStr">
        <is>
          <t>BigC</t>
        </is>
      </c>
      <c r="D2" t="n">
        <v>2</v>
      </c>
      <c r="E2" t="n">
        <v>3</v>
      </c>
      <c r="F2" t="n">
        <v>4</v>
      </c>
      <c r="G2" t="n">
        <v>1</v>
      </c>
      <c r="H2" t="n">
        <v>7500</v>
      </c>
      <c r="I2" t="n">
        <v>22500</v>
      </c>
      <c r="J2" t="n">
        <v>30000</v>
      </c>
      <c r="K2" t="n">
        <v>7500</v>
      </c>
    </row>
    <row r="3">
      <c r="A3" t="inlineStr">
        <is>
          <t>Dest_In date</t>
        </is>
      </c>
      <c r="B3" t="inlineStr">
        <is>
          <t>2026-04-10</t>
        </is>
      </c>
      <c r="C3" t="inlineStr">
        <is>
          <t>BigC</t>
        </is>
      </c>
      <c r="D3" t="n">
        <v>3</v>
      </c>
      <c r="E3" t="n">
        <v>5</v>
      </c>
      <c r="F3" t="n">
        <v>6</v>
      </c>
      <c r="G3" t="n">
        <v>1</v>
      </c>
      <c r="H3" t="n">
        <v>7500</v>
      </c>
      <c r="I3" t="n">
        <v>37500</v>
      </c>
      <c r="J3" t="n">
        <v>45000</v>
      </c>
      <c r="K3" t="n">
        <v>7500</v>
      </c>
    </row>
    <row r="4">
      <c r="A4" t="inlineStr">
        <is>
          <t>Dest_In date</t>
        </is>
      </c>
      <c r="B4" t="inlineStr">
        <is>
          <t>2026-04-10</t>
        </is>
      </c>
      <c r="C4" t="inlineStr">
        <is>
          <t>LCB</t>
        </is>
      </c>
      <c r="D4" t="n">
        <v>1</v>
      </c>
      <c r="E4" t="n">
        <v>1</v>
      </c>
      <c r="F4" t="n">
        <v>2</v>
      </c>
      <c r="G4" t="n">
        <v>1</v>
      </c>
      <c r="H4" t="n">
        <v>7500</v>
      </c>
      <c r="I4" t="n">
        <v>7500</v>
      </c>
      <c r="J4" t="n">
        <v>15000</v>
      </c>
      <c r="K4" t="n">
        <v>7500</v>
      </c>
    </row>
    <row r="5">
      <c r="A5" t="inlineStr">
        <is>
          <t>Dest_In date</t>
        </is>
      </c>
      <c r="B5" t="inlineStr">
        <is>
          <t>2026-04-11</t>
        </is>
      </c>
      <c r="C5" t="inlineStr">
        <is>
          <t>BigC</t>
        </is>
      </c>
      <c r="D5" t="n">
        <v>4</v>
      </c>
      <c r="E5" t="n">
        <v>4</v>
      </c>
      <c r="F5" t="n">
        <v>8</v>
      </c>
      <c r="G5" t="n">
        <v>4</v>
      </c>
      <c r="H5" t="n">
        <v>7500</v>
      </c>
      <c r="I5" t="n">
        <v>30000</v>
      </c>
      <c r="J5" t="n">
        <v>60000</v>
      </c>
      <c r="K5" t="n">
        <v>30000</v>
      </c>
    </row>
    <row r="6">
      <c r="A6" t="inlineStr">
        <is>
          <t>Dest_In date</t>
        </is>
      </c>
      <c r="B6" t="inlineStr">
        <is>
          <t>2026-04-11</t>
        </is>
      </c>
      <c r="C6" t="inlineStr">
        <is>
          <t>LCB</t>
        </is>
      </c>
      <c r="D6" t="n">
        <v>1</v>
      </c>
      <c r="E6" t="n">
        <v>1</v>
      </c>
      <c r="F6" t="n">
        <v>2</v>
      </c>
      <c r="G6" t="n">
        <v>1</v>
      </c>
      <c r="H6" t="n">
        <v>7500</v>
      </c>
      <c r="I6" t="n">
        <v>7500</v>
      </c>
      <c r="J6" t="n">
        <v>15000</v>
      </c>
      <c r="K6" t="n">
        <v>7500</v>
      </c>
    </row>
    <row r="7">
      <c r="A7" t="inlineStr">
        <is>
          <t>Dest_In date</t>
        </is>
      </c>
      <c r="B7" t="inlineStr">
        <is>
          <t>2026-04-12</t>
        </is>
      </c>
      <c r="C7" t="inlineStr">
        <is>
          <t>BigC</t>
        </is>
      </c>
      <c r="D7" t="n">
        <v>4</v>
      </c>
      <c r="E7" t="n">
        <v>5</v>
      </c>
      <c r="F7" t="n">
        <v>8</v>
      </c>
      <c r="G7" t="n">
        <v>3</v>
      </c>
      <c r="H7" t="n">
        <v>8000</v>
      </c>
      <c r="I7" t="n">
        <v>40000</v>
      </c>
      <c r="J7" t="n">
        <v>64000</v>
      </c>
      <c r="K7" t="n">
        <v>24000</v>
      </c>
    </row>
    <row r="8">
      <c r="A8" t="inlineStr">
        <is>
          <t>Dest_In date</t>
        </is>
      </c>
      <c r="B8" t="inlineStr">
        <is>
          <t>2026-04-12</t>
        </is>
      </c>
      <c r="C8" t="inlineStr">
        <is>
          <t>LCB</t>
        </is>
      </c>
      <c r="D8" t="n">
        <v>1</v>
      </c>
      <c r="E8" t="n">
        <v>1</v>
      </c>
      <c r="F8" t="n">
        <v>2</v>
      </c>
      <c r="G8" t="n">
        <v>1</v>
      </c>
      <c r="H8" t="n">
        <v>8000</v>
      </c>
      <c r="I8" t="n">
        <v>8000</v>
      </c>
      <c r="J8" t="n">
        <v>16000</v>
      </c>
      <c r="K8" t="n">
        <v>8000</v>
      </c>
    </row>
    <row r="9">
      <c r="A9" t="inlineStr">
        <is>
          <t>Dest_In date</t>
        </is>
      </c>
      <c r="B9" t="inlineStr">
        <is>
          <t>2026-04-13</t>
        </is>
      </c>
      <c r="C9" t="inlineStr">
        <is>
          <t>BigC</t>
        </is>
      </c>
      <c r="D9" t="n">
        <v>1</v>
      </c>
      <c r="E9" t="n">
        <v>2</v>
      </c>
      <c r="F9" t="n">
        <v>2</v>
      </c>
      <c r="G9" t="n">
        <v>0</v>
      </c>
      <c r="H9" t="n">
        <v>8000</v>
      </c>
      <c r="I9" t="n">
        <v>16000</v>
      </c>
      <c r="J9" t="n">
        <v>16000</v>
      </c>
      <c r="K9" t="n">
        <v>0</v>
      </c>
    </row>
    <row r="10">
      <c r="A10" t="inlineStr">
        <is>
          <t>Dest_In date</t>
        </is>
      </c>
      <c r="B10" t="inlineStr">
        <is>
          <t>2026-04-13</t>
        </is>
      </c>
      <c r="C10" t="inlineStr">
        <is>
          <t>LCB</t>
        </is>
      </c>
      <c r="D10" t="n">
        <v>4</v>
      </c>
      <c r="E10" t="n">
        <v>8</v>
      </c>
      <c r="F10" t="n">
        <v>8</v>
      </c>
      <c r="G10" t="n">
        <v>1</v>
      </c>
      <c r="H10" t="n">
        <v>8000</v>
      </c>
      <c r="I10" t="n">
        <v>64000</v>
      </c>
      <c r="J10" t="n">
        <v>64000</v>
      </c>
      <c r="K10" t="n">
        <v>8000</v>
      </c>
    </row>
    <row r="11">
      <c r="A11" t="inlineStr">
        <is>
          <t>Dest_In date</t>
        </is>
      </c>
      <c r="B11" t="inlineStr">
        <is>
          <t>2026-04-14</t>
        </is>
      </c>
      <c r="C11" t="inlineStr">
        <is>
          <t>LCB</t>
        </is>
      </c>
      <c r="D11" t="n">
        <v>4</v>
      </c>
      <c r="E11" t="n">
        <v>7</v>
      </c>
      <c r="F11" t="n">
        <v>8</v>
      </c>
      <c r="G11" t="n">
        <v>2</v>
      </c>
      <c r="H11" t="n">
        <v>8000</v>
      </c>
      <c r="I11" t="n">
        <v>56000</v>
      </c>
      <c r="J11" t="n">
        <v>64000</v>
      </c>
      <c r="K11" t="n">
        <v>16000</v>
      </c>
    </row>
    <row r="12">
      <c r="A12" t="inlineStr">
        <is>
          <t>Dest_In date</t>
        </is>
      </c>
      <c r="B12" t="inlineStr">
        <is>
          <t>2026-04-15</t>
        </is>
      </c>
      <c r="C12" t="inlineStr">
        <is>
          <t>LCB</t>
        </is>
      </c>
      <c r="D12" t="n">
        <v>5</v>
      </c>
      <c r="E12" t="n">
        <v>8</v>
      </c>
      <c r="F12" t="n">
        <v>10</v>
      </c>
      <c r="G12" t="n">
        <v>3</v>
      </c>
      <c r="H12" t="n">
        <v>8000</v>
      </c>
      <c r="I12" t="n">
        <v>64000</v>
      </c>
      <c r="J12" t="n">
        <v>80000</v>
      </c>
      <c r="K12" t="n">
        <v>24000</v>
      </c>
    </row>
    <row r="13">
      <c r="A13" t="inlineStr">
        <is>
          <t>Dest_In date</t>
        </is>
      </c>
      <c r="B13" t="inlineStr">
        <is>
          <t>2026-04-16</t>
        </is>
      </c>
      <c r="C13" t="inlineStr">
        <is>
          <t>LCB</t>
        </is>
      </c>
      <c r="D13" t="n">
        <v>5</v>
      </c>
      <c r="E13" t="n">
        <v>9</v>
      </c>
      <c r="F13" t="n">
        <v>10</v>
      </c>
      <c r="G13" t="n">
        <v>2</v>
      </c>
    </row>
    <row r="14">
      <c r="A14" t="inlineStr">
        <is>
          <t>Dest_In date</t>
        </is>
      </c>
      <c r="B14" t="inlineStr">
        <is>
          <t>2026-04-17</t>
        </is>
      </c>
      <c r="C14" t="inlineStr">
        <is>
          <t>LCB</t>
        </is>
      </c>
      <c r="D14" t="n">
        <v>5</v>
      </c>
      <c r="E14" t="n">
        <v>5</v>
      </c>
      <c r="F14" t="n">
        <v>10</v>
      </c>
      <c r="G14" t="n">
        <v>5</v>
      </c>
    </row>
    <row r="15">
      <c r="A15" t="inlineStr">
        <is>
          <t>Dest_In date</t>
        </is>
      </c>
      <c r="B15" t="inlineStr">
        <is>
          <t>TOTAL</t>
        </is>
      </c>
      <c r="C15" t="inlineStr">
        <is>
          <t>ALL</t>
        </is>
      </c>
      <c r="D15" t="n">
        <v>30</v>
      </c>
      <c r="E15" t="n">
        <v>45</v>
      </c>
      <c r="F15" t="n">
        <v>60</v>
      </c>
      <c r="G15" t="n">
        <v>18</v>
      </c>
      <c r="I15" t="n">
        <v>353000</v>
      </c>
      <c r="J15" t="n">
        <v>469000</v>
      </c>
      <c r="K15" t="n">
        <v>140000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3" customWidth="1" min="1" max="1"/>
    <col width="17" customWidth="1" min="2" max="2"/>
    <col width="6" customWidth="1" min="3" max="3"/>
    <col width="9" customWidth="1" min="4" max="4"/>
    <col width="21" customWidth="1" min="5" max="5"/>
    <col width="21" customWidth="1" min="6" max="6"/>
    <col width="10" customWidth="1" min="7" max="7"/>
  </cols>
  <sheetData>
    <row r="1">
      <c r="A1" t="inlineStr">
        <is>
          <t>Rule</t>
        </is>
      </c>
      <c r="B1" t="inlineStr">
        <is>
          <t>Travel_h &gt;= 8.0</t>
        </is>
      </c>
    </row>
    <row r="2">
      <c r="A2" t="inlineStr">
        <is>
          <t>Origin_Date</t>
        </is>
      </c>
      <c r="B2" t="inlineStr">
        <is>
          <t>Dest_Date</t>
        </is>
      </c>
      <c r="C2" t="inlineStr">
        <is>
          <t>Site</t>
        </is>
      </c>
      <c r="D2" t="inlineStr">
        <is>
          <t>Plate</t>
        </is>
      </c>
      <c r="E2" t="inlineStr">
        <is>
          <t>Origin_Out</t>
        </is>
      </c>
      <c r="F2" t="inlineStr">
        <is>
          <t>Dest_In</t>
        </is>
      </c>
      <c r="G2" t="inlineStr">
        <is>
          <t>Travel_h</t>
        </is>
      </c>
    </row>
    <row r="3">
      <c r="A3" t="inlineStr">
        <is>
          <t>2026-04-15</t>
        </is>
      </c>
      <c r="B3" t="inlineStr">
        <is>
          <t>2026-04-16</t>
        </is>
      </c>
      <c r="C3" t="inlineStr">
        <is>
          <t>LCB</t>
        </is>
      </c>
      <c r="D3" t="inlineStr">
        <is>
          <t>71-8681</t>
        </is>
      </c>
      <c r="E3" t="inlineStr">
        <is>
          <t>2026-04-15 22:18:33</t>
        </is>
      </c>
      <c r="F3" t="inlineStr">
        <is>
          <t>2026-04-16 09:58:38</t>
        </is>
      </c>
      <c r="G3" t="n">
        <v>11.67</v>
      </c>
    </row>
    <row r="4">
      <c r="A4" t="inlineStr">
        <is>
          <t>2026-04-09</t>
        </is>
      </c>
      <c r="B4" t="inlineStr">
        <is>
          <t>2026-04-10</t>
        </is>
      </c>
      <c r="C4" t="inlineStr">
        <is>
          <t>BigC</t>
        </is>
      </c>
      <c r="D4" t="inlineStr">
        <is>
          <t>71-8002</t>
        </is>
      </c>
      <c r="E4" t="inlineStr">
        <is>
          <t>2026-04-09 19:25:51</t>
        </is>
      </c>
      <c r="F4" t="inlineStr">
        <is>
          <t>2026-04-10 03:57:50</t>
        </is>
      </c>
      <c r="G4" t="n">
        <v>8.529999999999999</v>
      </c>
    </row>
    <row r="5">
      <c r="A5" t="inlineStr">
        <is>
          <t>2026-04-16</t>
        </is>
      </c>
      <c r="B5" t="inlineStr">
        <is>
          <t>2026-04-17</t>
        </is>
      </c>
      <c r="C5" t="inlineStr">
        <is>
          <t>LCB</t>
        </is>
      </c>
      <c r="D5" t="inlineStr">
        <is>
          <t>71-8967</t>
        </is>
      </c>
      <c r="E5" t="inlineStr">
        <is>
          <t>2026-04-17 00:03:41</t>
        </is>
      </c>
      <c r="F5" t="inlineStr">
        <is>
          <t>2026-04-17 08:32:38</t>
        </is>
      </c>
      <c r="G5" t="n">
        <v>8.48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3" customWidth="1" min="1" max="1"/>
    <col width="9" customWidth="1" min="2" max="2"/>
    <col width="34" customWidth="1" min="3" max="3"/>
    <col width="8" customWidth="1" min="4" max="4"/>
    <col width="21" customWidth="1" min="5" max="5"/>
    <col width="21" customWidth="1" min="6" max="6"/>
  </cols>
  <sheetData>
    <row r="1">
      <c r="A1" t="inlineStr">
        <is>
          <t>Source</t>
        </is>
      </c>
      <c r="B1" t="inlineStr">
        <is>
          <t>Plate</t>
        </is>
      </c>
      <c r="C1" t="inlineStr">
        <is>
          <t>Device</t>
        </is>
      </c>
      <c r="D1" t="inlineStr">
        <is>
          <t>Row_No</t>
        </is>
      </c>
      <c r="E1" t="inlineStr">
        <is>
          <t>In</t>
        </is>
      </c>
      <c r="F1" t="inlineStr">
        <is>
          <t>Out</t>
        </is>
      </c>
    </row>
    <row r="2">
      <c r="A2" t="inlineStr">
        <is>
          <t>Origin</t>
        </is>
      </c>
      <c r="B2" t="inlineStr">
        <is>
          <t>71-6802</t>
        </is>
      </c>
      <c r="C2" t="inlineStr">
        <is>
          <t>71-6802 วิชาญ หัวลาก10W</t>
        </is>
      </c>
      <c r="D2" t="inlineStr">
        <is>
          <t>10.2</t>
        </is>
      </c>
      <c r="E2" t="inlineStr">
        <is>
          <t>2026-04-13 13:41:17</t>
        </is>
      </c>
      <c r="F2" t="inlineStr">
        <is>
          <t>2026-04-13 14:02:02</t>
        </is>
      </c>
    </row>
    <row r="3">
      <c r="A3" t="inlineStr">
        <is>
          <t>Origin</t>
        </is>
      </c>
      <c r="B3" t="inlineStr">
        <is>
          <t>71-6802</t>
        </is>
      </c>
      <c r="C3" t="inlineStr">
        <is>
          <t>71-6802 วิชาญ หัวลาก10W</t>
        </is>
      </c>
      <c r="D3" t="inlineStr">
        <is>
          <t>10.7</t>
        </is>
      </c>
      <c r="E3" t="inlineStr">
        <is>
          <t>2026-04-15 12:09:47</t>
        </is>
      </c>
      <c r="F3" t="inlineStr">
        <is>
          <t>2026-04-15 14:35:25</t>
        </is>
      </c>
    </row>
    <row r="4">
      <c r="A4" t="inlineStr">
        <is>
          <t>Origin</t>
        </is>
      </c>
      <c r="B4" t="inlineStr">
        <is>
          <t>71-6802</t>
        </is>
      </c>
      <c r="C4" t="inlineStr">
        <is>
          <t>71-6802 วิชาญ หัวลาก10W</t>
        </is>
      </c>
      <c r="D4" t="inlineStr">
        <is>
          <t>10.12</t>
        </is>
      </c>
      <c r="E4" t="inlineStr">
        <is>
          <t>2026-04-17 10:55:21</t>
        </is>
      </c>
      <c r="F4" t="inlineStr">
        <is>
          <t>2026-04-17 12:36:13</t>
        </is>
      </c>
    </row>
    <row r="5">
      <c r="A5" t="inlineStr">
        <is>
          <t>Origin</t>
        </is>
      </c>
      <c r="B5" t="inlineStr">
        <is>
          <t>71-8681</t>
        </is>
      </c>
      <c r="C5" t="inlineStr">
        <is>
          <t>71-8681 ว่าง หัวลาก10W อ้อย</t>
        </is>
      </c>
      <c r="D5" t="inlineStr">
        <is>
          <t>8.2</t>
        </is>
      </c>
      <c r="E5" t="inlineStr">
        <is>
          <t>2026-04-13 15:01:52</t>
        </is>
      </c>
      <c r="F5" t="inlineStr">
        <is>
          <t>2026-04-13 19:10:12</t>
        </is>
      </c>
    </row>
    <row r="6">
      <c r="A6" t="inlineStr">
        <is>
          <t>Origin</t>
        </is>
      </c>
      <c r="B6" t="inlineStr">
        <is>
          <t>71-8681</t>
        </is>
      </c>
      <c r="C6" t="inlineStr">
        <is>
          <t>71-8681 ว่าง หัวลาก10W อ้อย</t>
        </is>
      </c>
      <c r="D6" t="inlineStr">
        <is>
          <t>8.6</t>
        </is>
      </c>
      <c r="E6" t="inlineStr">
        <is>
          <t>2026-04-17 07:13:01</t>
        </is>
      </c>
      <c r="F6" t="inlineStr">
        <is>
          <t>2026-04-17 09:27:07</t>
        </is>
      </c>
    </row>
    <row r="7">
      <c r="A7" t="inlineStr">
        <is>
          <t>Origin</t>
        </is>
      </c>
      <c r="B7" t="inlineStr">
        <is>
          <t>71-8967</t>
        </is>
      </c>
      <c r="C7" t="inlineStr">
        <is>
          <t>71-8967 ณัฐวุฒิ หัวลาก10W ทับทิม</t>
        </is>
      </c>
      <c r="D7" t="inlineStr">
        <is>
          <t>12.3</t>
        </is>
      </c>
      <c r="E7" t="inlineStr">
        <is>
          <t>2026-04-17 12:35:37</t>
        </is>
      </c>
      <c r="F7" t="inlineStr">
        <is>
          <t>2026-04-17 13:03:37</t>
        </is>
      </c>
    </row>
    <row r="8">
      <c r="A8" t="inlineStr">
        <is>
          <t>Origin</t>
        </is>
      </c>
      <c r="B8" t="inlineStr">
        <is>
          <t>71-9629</t>
        </is>
      </c>
      <c r="C8" t="inlineStr">
        <is>
          <t>71-9629 พิชิต หัวลาก10W แมงลัก</t>
        </is>
      </c>
      <c r="D8" t="inlineStr">
        <is>
          <t>9.1</t>
        </is>
      </c>
      <c r="E8" t="inlineStr">
        <is>
          <t>2026-04-12 17:15:57</t>
        </is>
      </c>
      <c r="F8" t="inlineStr">
        <is>
          <t>2026-04-12 21:44:27</t>
        </is>
      </c>
    </row>
    <row r="9">
      <c r="A9" t="inlineStr">
        <is>
          <t>Origin</t>
        </is>
      </c>
      <c r="B9" t="inlineStr">
        <is>
          <t>72-1217</t>
        </is>
      </c>
      <c r="C9" t="inlineStr">
        <is>
          <t>72-1217 เนื้อ หัวลาก10W ตระไคร้</t>
        </is>
      </c>
      <c r="D9" t="inlineStr">
        <is>
          <t>7.11</t>
        </is>
      </c>
      <c r="E9" t="inlineStr">
        <is>
          <t>2026-04-17 11:47:21</t>
        </is>
      </c>
      <c r="F9" t="inlineStr">
        <is>
          <t>2026-04-17 12:14:49</t>
        </is>
      </c>
    </row>
    <row r="10">
      <c r="A10" t="inlineStr">
        <is>
          <t>Origin</t>
        </is>
      </c>
      <c r="B10" t="inlineStr">
        <is>
          <t>72-1220</t>
        </is>
      </c>
      <c r="C10" t="inlineStr">
        <is>
          <t>72-1220 ปกรณ์ หัวลาก10W ข่า</t>
        </is>
      </c>
      <c r="D10" t="inlineStr">
        <is>
          <t>11.3</t>
        </is>
      </c>
      <c r="E10" t="inlineStr">
        <is>
          <t>2026-04-15 14:04:26</t>
        </is>
      </c>
      <c r="F10" t="inlineStr">
        <is>
          <t>2026-04-15 23:33:22</t>
        </is>
      </c>
    </row>
    <row r="11">
      <c r="A11" t="inlineStr">
        <is>
          <t>Destination</t>
        </is>
      </c>
      <c r="B11" t="inlineStr">
        <is>
          <t>71-8681</t>
        </is>
      </c>
      <c r="C11" t="inlineStr">
        <is>
          <t>71-8681 ว่าง หัวลาก10W อ้อย</t>
        </is>
      </c>
      <c r="D11" t="inlineStr">
        <is>
          <t>9.2</t>
        </is>
      </c>
      <c r="E11" t="inlineStr">
        <is>
          <t>2026-04-14 15:27:46</t>
        </is>
      </c>
      <c r="F11" t="inlineStr">
        <is>
          <t>2026-04-14 16:19:36</t>
        </is>
      </c>
    </row>
    <row r="12">
      <c r="A12" t="inlineStr">
        <is>
          <t>Destination</t>
        </is>
      </c>
      <c r="B12" t="inlineStr">
        <is>
          <t>71-8967</t>
        </is>
      </c>
      <c r="C12" t="inlineStr">
        <is>
          <t>71-8967 ณัฐวุฒิ หัวลาก10W ทับทิม</t>
        </is>
      </c>
      <c r="D12" t="inlineStr">
        <is>
          <t>12.1</t>
        </is>
      </c>
      <c r="E12" t="inlineStr">
        <is>
          <t>2026-04-16 08:40:06</t>
        </is>
      </c>
      <c r="F12" t="inlineStr">
        <is>
          <t>2026-04-16 10:13:04</t>
        </is>
      </c>
    </row>
    <row r="13">
      <c r="A13" t="inlineStr">
        <is>
          <t>Destination</t>
        </is>
      </c>
      <c r="B13" t="inlineStr">
        <is>
          <t>72-1220</t>
        </is>
      </c>
      <c r="C13" t="inlineStr">
        <is>
          <t>72-1220 ปกรณ์ หัวลาก10W ข่า</t>
        </is>
      </c>
      <c r="D13" t="inlineStr">
        <is>
          <t>11.1</t>
        </is>
      </c>
      <c r="E13" t="inlineStr">
        <is>
          <t>2026-04-14 14:06:59</t>
        </is>
      </c>
      <c r="F13" t="inlineStr">
        <is>
          <t>2026-04-14 14:40:39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t="inlineStr">
        <is>
          <t>Dest_In date</t>
        </is>
      </c>
      <c r="B1" t="inlineStr">
        <is>
          <t>Active trucks (all)</t>
        </is>
      </c>
      <c r="C1" t="inlineStr">
        <is>
          <t>Actual trips (all)</t>
        </is>
      </c>
      <c r="D1" t="inlineStr">
        <is>
          <t>Commit min trips (2 x trucks)</t>
        </is>
      </c>
      <c r="E1" t="inlineStr">
        <is>
          <t>Shortfall trips (all)</t>
        </is>
      </c>
      <c r="F1" t="inlineStr">
        <is>
          <t>BigC trucks</t>
        </is>
      </c>
      <c r="G1" t="inlineStr">
        <is>
          <t>BigC trips</t>
        </is>
      </c>
      <c r="H1" t="inlineStr">
        <is>
          <t>LCB trucks</t>
        </is>
      </c>
      <c r="I1" t="inlineStr">
        <is>
          <t>LCB trips</t>
        </is>
      </c>
    </row>
    <row r="2">
      <c r="A2" t="inlineStr">
        <is>
          <t>2026-04-09</t>
        </is>
      </c>
      <c r="B2" t="n">
        <v>2</v>
      </c>
      <c r="C2" t="n">
        <v>3</v>
      </c>
      <c r="D2" t="n">
        <v>4</v>
      </c>
      <c r="E2" t="n">
        <v>1</v>
      </c>
      <c r="F2" t="n">
        <v>2</v>
      </c>
      <c r="G2" t="n">
        <v>3</v>
      </c>
      <c r="H2" t="n">
        <v>0</v>
      </c>
      <c r="I2" t="n">
        <v>0</v>
      </c>
    </row>
    <row r="3">
      <c r="A3" t="inlineStr">
        <is>
          <t>2026-04-10</t>
        </is>
      </c>
      <c r="B3" t="n">
        <v>4</v>
      </c>
      <c r="C3" t="n">
        <v>6</v>
      </c>
      <c r="D3" t="n">
        <v>8</v>
      </c>
      <c r="E3" t="n">
        <v>2</v>
      </c>
      <c r="F3" t="n">
        <v>3</v>
      </c>
      <c r="G3" t="n">
        <v>5</v>
      </c>
      <c r="H3" t="n">
        <v>1</v>
      </c>
      <c r="I3" t="n">
        <v>1</v>
      </c>
    </row>
    <row r="4">
      <c r="A4" t="inlineStr">
        <is>
          <t>2026-04-11</t>
        </is>
      </c>
      <c r="B4" t="n">
        <v>5</v>
      </c>
      <c r="C4" t="n">
        <v>5</v>
      </c>
      <c r="D4" t="n">
        <v>10</v>
      </c>
      <c r="E4" t="n">
        <v>5</v>
      </c>
      <c r="F4" t="n">
        <v>4</v>
      </c>
      <c r="G4" t="n">
        <v>4</v>
      </c>
      <c r="H4" t="n">
        <v>1</v>
      </c>
      <c r="I4" t="n">
        <v>1</v>
      </c>
    </row>
    <row r="5">
      <c r="A5" t="inlineStr">
        <is>
          <t>2026-04-12</t>
        </is>
      </c>
      <c r="B5" t="n">
        <v>5</v>
      </c>
      <c r="C5" t="n">
        <v>6</v>
      </c>
      <c r="D5" t="n">
        <v>10</v>
      </c>
      <c r="E5" t="n">
        <v>4</v>
      </c>
      <c r="F5" t="n">
        <v>4</v>
      </c>
      <c r="G5" t="n">
        <v>5</v>
      </c>
      <c r="H5" t="n">
        <v>1</v>
      </c>
      <c r="I5" t="n">
        <v>1</v>
      </c>
    </row>
    <row r="6">
      <c r="A6" t="inlineStr">
        <is>
          <t>2026-04-13</t>
        </is>
      </c>
      <c r="B6" t="n">
        <v>5</v>
      </c>
      <c r="C6" t="n">
        <v>10</v>
      </c>
      <c r="D6" t="n">
        <v>10</v>
      </c>
      <c r="E6" t="n">
        <v>0</v>
      </c>
      <c r="F6" t="n">
        <v>1</v>
      </c>
      <c r="G6" t="n">
        <v>2</v>
      </c>
      <c r="H6" t="n">
        <v>4</v>
      </c>
      <c r="I6" t="n">
        <v>8</v>
      </c>
    </row>
    <row r="7">
      <c r="A7" t="inlineStr">
        <is>
          <t>2026-04-14</t>
        </is>
      </c>
      <c r="B7" t="n">
        <v>4</v>
      </c>
      <c r="C7" t="n">
        <v>7</v>
      </c>
      <c r="D7" t="n">
        <v>8</v>
      </c>
      <c r="E7" t="n">
        <v>1</v>
      </c>
      <c r="F7" t="n">
        <v>0</v>
      </c>
      <c r="G7" t="n">
        <v>0</v>
      </c>
      <c r="H7" t="n">
        <v>4</v>
      </c>
      <c r="I7" t="n">
        <v>7</v>
      </c>
    </row>
    <row r="8">
      <c r="A8" t="inlineStr">
        <is>
          <t>2026-04-15</t>
        </is>
      </c>
      <c r="B8" t="n">
        <v>5</v>
      </c>
      <c r="C8" t="n">
        <v>8</v>
      </c>
      <c r="D8" t="n">
        <v>10</v>
      </c>
      <c r="E8" t="n">
        <v>2</v>
      </c>
      <c r="F8" t="n">
        <v>0</v>
      </c>
      <c r="G8" t="n">
        <v>0</v>
      </c>
      <c r="H8" t="n">
        <v>5</v>
      </c>
      <c r="I8" t="n">
        <v>8</v>
      </c>
    </row>
    <row r="9">
      <c r="A9" t="inlineStr">
        <is>
          <t>2026-04-16</t>
        </is>
      </c>
      <c r="B9" t="n">
        <v>5</v>
      </c>
      <c r="C9" t="n">
        <v>9</v>
      </c>
      <c r="D9" t="n">
        <v>10</v>
      </c>
      <c r="E9" t="n">
        <v>1</v>
      </c>
      <c r="F9" t="n">
        <v>0</v>
      </c>
      <c r="G9" t="n">
        <v>0</v>
      </c>
      <c r="H9" t="n">
        <v>5</v>
      </c>
      <c r="I9" t="n">
        <v>9</v>
      </c>
    </row>
    <row r="10">
      <c r="A10" t="inlineStr">
        <is>
          <t>2026-04-17</t>
        </is>
      </c>
      <c r="B10" t="n">
        <v>5</v>
      </c>
      <c r="C10" t="n">
        <v>5</v>
      </c>
      <c r="D10" t="n">
        <v>10</v>
      </c>
      <c r="E10" t="n">
        <v>5</v>
      </c>
      <c r="F10" t="n">
        <v>0</v>
      </c>
      <c r="G10" t="n">
        <v>0</v>
      </c>
      <c r="H10" t="n">
        <v>5</v>
      </c>
      <c r="I10" t="n">
        <v>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8" customWidth="1" min="1" max="1"/>
    <col width="60" customWidth="1" min="2" max="2"/>
    <col width="10" customWidth="1" min="3" max="3"/>
    <col width="12" customWidth="1" min="4" max="4"/>
    <col width="14" customWidth="1" min="5" max="5"/>
  </cols>
  <sheetData>
    <row r="1">
      <c r="A1" t="inlineStr">
        <is>
          <t>Line</t>
        </is>
      </c>
      <c r="B1" t="inlineStr">
        <is>
          <t>Description</t>
        </is>
      </c>
      <c r="C1" t="inlineStr">
        <is>
          <t>Qty</t>
        </is>
      </c>
      <c r="D1" t="inlineStr">
        <is>
          <t>Unit THB</t>
        </is>
      </c>
      <c r="E1" t="inlineStr">
        <is>
          <t>Amount THB</t>
        </is>
      </c>
    </row>
    <row r="2">
      <c r="A2" t="n">
        <v>1</v>
      </c>
    </row>
    <row r="3">
      <c r="A3" t="n">
        <v>2</v>
      </c>
    </row>
    <row r="4">
      <c r="A4" t="n">
        <v>3</v>
      </c>
    </row>
    <row r="5">
      <c r="A5" t="n">
        <v>4</v>
      </c>
    </row>
    <row r="6">
      <c r="A6" t="n">
        <v>5</v>
      </c>
    </row>
    <row r="7">
      <c r="A7" t="n">
        <v>6</v>
      </c>
    </row>
    <row r="8">
      <c r="A8" t="n">
        <v>7</v>
      </c>
    </row>
    <row r="9">
      <c r="A9" t="n">
        <v>8</v>
      </c>
    </row>
    <row r="10">
      <c r="A10" t="n">
        <v>9</v>
      </c>
    </row>
    <row r="11">
      <c r="A11" t="n">
        <v>10</v>
      </c>
    </row>
    <row r="12">
      <c r="A12" t="n">
        <v>11</v>
      </c>
    </row>
    <row r="13">
      <c r="A13" t="n">
        <v>12</v>
      </c>
    </row>
    <row r="14">
      <c r="A14" t="n">
        <v>13</v>
      </c>
    </row>
    <row r="15">
      <c r="A15" t="n">
        <v>14</v>
      </c>
    </row>
    <row r="16">
      <c r="A16" t="n">
        <v>15</v>
      </c>
    </row>
    <row r="17">
      <c r="A17" t="n">
        <v>16</v>
      </c>
    </row>
    <row r="18">
      <c r="A18" t="n">
        <v>17</v>
      </c>
    </row>
    <row r="19">
      <c r="A19" t="n">
        <v>18</v>
      </c>
    </row>
    <row r="20">
      <c r="A20" t="n">
        <v>19</v>
      </c>
    </row>
    <row r="21">
      <c r="A21" t="n">
        <v>20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>
      <c r="A1" t="inlineStr">
        <is>
          <t>Dest_In date</t>
        </is>
      </c>
      <c r="B1" t="inlineStr">
        <is>
          <t>Active trucks</t>
        </is>
      </c>
      <c r="C1" t="inlineStr">
        <is>
          <t>Actual trips</t>
        </is>
      </c>
      <c r="D1" t="inlineStr">
        <is>
          <t>Commit min trips</t>
        </is>
      </c>
      <c r="E1" t="inlineStr">
        <is>
          <t>Shortfall trips</t>
        </is>
      </c>
      <c r="F1" t="inlineStr">
        <is>
          <t>Freight THB (auto)</t>
        </is>
      </c>
      <c r="G1" t="inlineStr">
        <is>
          <t>Origin wait charge THB (auto)</t>
        </is>
      </c>
      <c r="H1" t="inlineStr">
        <is>
          <t>Dest wait charge THB (auto)</t>
        </is>
      </c>
      <c r="I1" t="inlineStr">
        <is>
          <t>Shortfall charge THB (auto)</t>
        </is>
      </c>
      <c r="J1" t="inlineStr">
        <is>
          <t>Total THB (auto)</t>
        </is>
      </c>
    </row>
    <row r="2">
      <c r="A2" t="inlineStr">
        <is>
          <t>2026-04-09</t>
        </is>
      </c>
      <c r="B2" t="n">
        <v>2</v>
      </c>
      <c r="C2" t="n">
        <v>3</v>
      </c>
      <c r="D2" t="n">
        <v>4</v>
      </c>
      <c r="E2" t="n">
        <v>1</v>
      </c>
      <c r="F2">
        <f>SUMIFS(Trip_Detail!$R:$R,Trip_Detail!$C:$C,A2,Trip_Detail!$C:$C,"&lt;="&amp;DATE(2026,4,11))*Billing_Inputs!$B$2+SUMIFS(Trip_Detail!$R:$R,Trip_Detail!$C:$C,A2,Trip_Detail!$C:$C,"&gt;="&amp;DATE(2026,4,12),Trip_Detail!$C:$C,"&lt;="&amp;DATE(2026,4,15))*Billing_Inputs!$B$3</f>
        <v/>
      </c>
      <c r="G2">
        <f>SUMIFS(Trip_Detail!$S:$S,Trip_Detail!$C:$C,A2)*Billing_Inputs!$B$4</f>
        <v/>
      </c>
      <c r="H2">
        <f>SUMIFS(Trip_Detail!$T:$T,Trip_Detail!$C:$C,A2)*Billing_Inputs!$B$5</f>
        <v/>
      </c>
      <c r="I2">
        <f>IF(Billing_Inputs!$B$8="",(SUMIFS(Trip_Detail!$R:$R,Trip_Detail!$C:$C,A2,Trip_Detail!$C:$C,"&lt;="&amp;DATE(2026,4,11))*Billing_Inputs!$B$2+SUMIFS(Trip_Detail!$R:$R,Trip_Detail!$C:$C,A2,Trip_Detail!$C:$C,"&gt;="&amp;DATE(2026,4,12),Trip_Detail!$C:$C,"&lt;="&amp;DATE(2026,4,15))*Billing_Inputs!$B$3)/MAX(1,E2)*E2,E2*Billing_Inputs!$B$8)</f>
        <v/>
      </c>
      <c r="J2">
        <f>F2+G2+H2+I2</f>
        <v/>
      </c>
    </row>
    <row r="3">
      <c r="A3" t="inlineStr">
        <is>
          <t>2026-04-10</t>
        </is>
      </c>
      <c r="B3" t="n">
        <v>4</v>
      </c>
      <c r="C3" t="n">
        <v>6</v>
      </c>
      <c r="D3" t="n">
        <v>8</v>
      </c>
      <c r="E3" t="n">
        <v>2</v>
      </c>
      <c r="F3">
        <f>SUMIFS(Trip_Detail!$R:$R,Trip_Detail!$C:$C,A3,Trip_Detail!$C:$C,"&lt;="&amp;DATE(2026,4,11))*Billing_Inputs!$B$2+SUMIFS(Trip_Detail!$R:$R,Trip_Detail!$C:$C,A3,Trip_Detail!$C:$C,"&gt;="&amp;DATE(2026,4,12),Trip_Detail!$C:$C,"&lt;="&amp;DATE(2026,4,15))*Billing_Inputs!$B$3</f>
        <v/>
      </c>
      <c r="G3">
        <f>SUMIFS(Trip_Detail!$S:$S,Trip_Detail!$C:$C,A3)*Billing_Inputs!$B$4</f>
        <v/>
      </c>
      <c r="H3">
        <f>SUMIFS(Trip_Detail!$T:$T,Trip_Detail!$C:$C,A3)*Billing_Inputs!$B$5</f>
        <v/>
      </c>
      <c r="I3">
        <f>IF(Billing_Inputs!$B$8="",(SUMIFS(Trip_Detail!$R:$R,Trip_Detail!$C:$C,A3,Trip_Detail!$C:$C,"&lt;="&amp;DATE(2026,4,11))*Billing_Inputs!$B$2+SUMIFS(Trip_Detail!$R:$R,Trip_Detail!$C:$C,A3,Trip_Detail!$C:$C,"&gt;="&amp;DATE(2026,4,12),Trip_Detail!$C:$C,"&lt;="&amp;DATE(2026,4,15))*Billing_Inputs!$B$3)/MAX(1,E3)*E3,E3*Billing_Inputs!$B$8)</f>
        <v/>
      </c>
      <c r="J3">
        <f>F3+G3+H3+I3</f>
        <v/>
      </c>
    </row>
    <row r="4">
      <c r="A4" t="inlineStr">
        <is>
          <t>2026-04-11</t>
        </is>
      </c>
      <c r="B4" t="n">
        <v>5</v>
      </c>
      <c r="C4" t="n">
        <v>5</v>
      </c>
      <c r="D4" t="n">
        <v>10</v>
      </c>
      <c r="E4" t="n">
        <v>5</v>
      </c>
      <c r="F4">
        <f>SUMIFS(Trip_Detail!$R:$R,Trip_Detail!$C:$C,A4,Trip_Detail!$C:$C,"&lt;="&amp;DATE(2026,4,11))*Billing_Inputs!$B$2+SUMIFS(Trip_Detail!$R:$R,Trip_Detail!$C:$C,A4,Trip_Detail!$C:$C,"&gt;="&amp;DATE(2026,4,12),Trip_Detail!$C:$C,"&lt;="&amp;DATE(2026,4,15))*Billing_Inputs!$B$3</f>
        <v/>
      </c>
      <c r="G4">
        <f>SUMIFS(Trip_Detail!$S:$S,Trip_Detail!$C:$C,A4)*Billing_Inputs!$B$4</f>
        <v/>
      </c>
      <c r="H4">
        <f>SUMIFS(Trip_Detail!$T:$T,Trip_Detail!$C:$C,A4)*Billing_Inputs!$B$5</f>
        <v/>
      </c>
      <c r="I4">
        <f>IF(Billing_Inputs!$B$8="",(SUMIFS(Trip_Detail!$R:$R,Trip_Detail!$C:$C,A4,Trip_Detail!$C:$C,"&lt;="&amp;DATE(2026,4,11))*Billing_Inputs!$B$2+SUMIFS(Trip_Detail!$R:$R,Trip_Detail!$C:$C,A4,Trip_Detail!$C:$C,"&gt;="&amp;DATE(2026,4,12),Trip_Detail!$C:$C,"&lt;="&amp;DATE(2026,4,15))*Billing_Inputs!$B$3)/MAX(1,E4)*E4,E4*Billing_Inputs!$B$8)</f>
        <v/>
      </c>
      <c r="J4">
        <f>F4+G4+H4+I4</f>
        <v/>
      </c>
    </row>
    <row r="5">
      <c r="A5" t="inlineStr">
        <is>
          <t>2026-04-12</t>
        </is>
      </c>
      <c r="B5" t="n">
        <v>5</v>
      </c>
      <c r="C5" t="n">
        <v>6</v>
      </c>
      <c r="D5" t="n">
        <v>10</v>
      </c>
      <c r="E5" t="n">
        <v>4</v>
      </c>
      <c r="F5">
        <f>SUMIFS(Trip_Detail!$R:$R,Trip_Detail!$C:$C,A5,Trip_Detail!$C:$C,"&lt;="&amp;DATE(2026,4,11))*Billing_Inputs!$B$2+SUMIFS(Trip_Detail!$R:$R,Trip_Detail!$C:$C,A5,Trip_Detail!$C:$C,"&gt;="&amp;DATE(2026,4,12),Trip_Detail!$C:$C,"&lt;="&amp;DATE(2026,4,15))*Billing_Inputs!$B$3</f>
        <v/>
      </c>
      <c r="G5">
        <f>SUMIFS(Trip_Detail!$S:$S,Trip_Detail!$C:$C,A5)*Billing_Inputs!$B$4</f>
        <v/>
      </c>
      <c r="H5">
        <f>SUMIFS(Trip_Detail!$T:$T,Trip_Detail!$C:$C,A5)*Billing_Inputs!$B$5</f>
        <v/>
      </c>
      <c r="I5">
        <f>IF(Billing_Inputs!$B$8="",(SUMIFS(Trip_Detail!$R:$R,Trip_Detail!$C:$C,A5,Trip_Detail!$C:$C,"&lt;="&amp;DATE(2026,4,11))*Billing_Inputs!$B$2+SUMIFS(Trip_Detail!$R:$R,Trip_Detail!$C:$C,A5,Trip_Detail!$C:$C,"&gt;="&amp;DATE(2026,4,12),Trip_Detail!$C:$C,"&lt;="&amp;DATE(2026,4,15))*Billing_Inputs!$B$3)/MAX(1,E5)*E5,E5*Billing_Inputs!$B$8)</f>
        <v/>
      </c>
      <c r="J5">
        <f>F5+G5+H5+I5</f>
        <v/>
      </c>
    </row>
    <row r="6">
      <c r="A6" t="inlineStr">
        <is>
          <t>2026-04-13</t>
        </is>
      </c>
      <c r="B6" t="n">
        <v>5</v>
      </c>
      <c r="C6" t="n">
        <v>10</v>
      </c>
      <c r="D6" t="n">
        <v>10</v>
      </c>
      <c r="E6" t="n">
        <v>0</v>
      </c>
      <c r="F6">
        <f>SUMIFS(Trip_Detail!$R:$R,Trip_Detail!$C:$C,A6,Trip_Detail!$C:$C,"&lt;="&amp;DATE(2026,4,11))*Billing_Inputs!$B$2+SUMIFS(Trip_Detail!$R:$R,Trip_Detail!$C:$C,A6,Trip_Detail!$C:$C,"&gt;="&amp;DATE(2026,4,12),Trip_Detail!$C:$C,"&lt;="&amp;DATE(2026,4,15))*Billing_Inputs!$B$3</f>
        <v/>
      </c>
      <c r="G6">
        <f>SUMIFS(Trip_Detail!$S:$S,Trip_Detail!$C:$C,A6)*Billing_Inputs!$B$4</f>
        <v/>
      </c>
      <c r="H6">
        <f>SUMIFS(Trip_Detail!$T:$T,Trip_Detail!$C:$C,A6)*Billing_Inputs!$B$5</f>
        <v/>
      </c>
      <c r="I6">
        <f>IF(Billing_Inputs!$B$8="",(SUMIFS(Trip_Detail!$R:$R,Trip_Detail!$C:$C,A6,Trip_Detail!$C:$C,"&lt;="&amp;DATE(2026,4,11))*Billing_Inputs!$B$2+SUMIFS(Trip_Detail!$R:$R,Trip_Detail!$C:$C,A6,Trip_Detail!$C:$C,"&gt;="&amp;DATE(2026,4,12),Trip_Detail!$C:$C,"&lt;="&amp;DATE(2026,4,15))*Billing_Inputs!$B$3)/MAX(1,E6)*E6,E6*Billing_Inputs!$B$8)</f>
        <v/>
      </c>
      <c r="J6">
        <f>F6+G6+H6+I6</f>
        <v/>
      </c>
    </row>
    <row r="7">
      <c r="A7" t="inlineStr">
        <is>
          <t>2026-04-14</t>
        </is>
      </c>
      <c r="B7" t="n">
        <v>4</v>
      </c>
      <c r="C7" t="n">
        <v>7</v>
      </c>
      <c r="D7" t="n">
        <v>8</v>
      </c>
      <c r="E7" t="n">
        <v>1</v>
      </c>
      <c r="F7">
        <f>SUMIFS(Trip_Detail!$R:$R,Trip_Detail!$C:$C,A7,Trip_Detail!$C:$C,"&lt;="&amp;DATE(2026,4,11))*Billing_Inputs!$B$2+SUMIFS(Trip_Detail!$R:$R,Trip_Detail!$C:$C,A7,Trip_Detail!$C:$C,"&gt;="&amp;DATE(2026,4,12),Trip_Detail!$C:$C,"&lt;="&amp;DATE(2026,4,15))*Billing_Inputs!$B$3</f>
        <v/>
      </c>
      <c r="G7">
        <f>SUMIFS(Trip_Detail!$S:$S,Trip_Detail!$C:$C,A7)*Billing_Inputs!$B$4</f>
        <v/>
      </c>
      <c r="H7">
        <f>SUMIFS(Trip_Detail!$T:$T,Trip_Detail!$C:$C,A7)*Billing_Inputs!$B$5</f>
        <v/>
      </c>
      <c r="I7">
        <f>IF(Billing_Inputs!$B$8="",(SUMIFS(Trip_Detail!$R:$R,Trip_Detail!$C:$C,A7,Trip_Detail!$C:$C,"&lt;="&amp;DATE(2026,4,11))*Billing_Inputs!$B$2+SUMIFS(Trip_Detail!$R:$R,Trip_Detail!$C:$C,A7,Trip_Detail!$C:$C,"&gt;="&amp;DATE(2026,4,12),Trip_Detail!$C:$C,"&lt;="&amp;DATE(2026,4,15))*Billing_Inputs!$B$3)/MAX(1,E7)*E7,E7*Billing_Inputs!$B$8)</f>
        <v/>
      </c>
      <c r="J7">
        <f>F7+G7+H7+I7</f>
        <v/>
      </c>
    </row>
    <row r="8">
      <c r="A8" t="inlineStr">
        <is>
          <t>2026-04-15</t>
        </is>
      </c>
      <c r="B8" t="n">
        <v>5</v>
      </c>
      <c r="C8" t="n">
        <v>8</v>
      </c>
      <c r="D8" t="n">
        <v>10</v>
      </c>
      <c r="E8" t="n">
        <v>2</v>
      </c>
      <c r="F8">
        <f>SUMIFS(Trip_Detail!$R:$R,Trip_Detail!$C:$C,A8,Trip_Detail!$C:$C,"&lt;="&amp;DATE(2026,4,11))*Billing_Inputs!$B$2+SUMIFS(Trip_Detail!$R:$R,Trip_Detail!$C:$C,A8,Trip_Detail!$C:$C,"&gt;="&amp;DATE(2026,4,12),Trip_Detail!$C:$C,"&lt;="&amp;DATE(2026,4,15))*Billing_Inputs!$B$3</f>
        <v/>
      </c>
      <c r="G8">
        <f>SUMIFS(Trip_Detail!$S:$S,Trip_Detail!$C:$C,A8)*Billing_Inputs!$B$4</f>
        <v/>
      </c>
      <c r="H8">
        <f>SUMIFS(Trip_Detail!$T:$T,Trip_Detail!$C:$C,A8)*Billing_Inputs!$B$5</f>
        <v/>
      </c>
      <c r="I8">
        <f>IF(Billing_Inputs!$B$8="",(SUMIFS(Trip_Detail!$R:$R,Trip_Detail!$C:$C,A8,Trip_Detail!$C:$C,"&lt;="&amp;DATE(2026,4,11))*Billing_Inputs!$B$2+SUMIFS(Trip_Detail!$R:$R,Trip_Detail!$C:$C,A8,Trip_Detail!$C:$C,"&gt;="&amp;DATE(2026,4,12),Trip_Detail!$C:$C,"&lt;="&amp;DATE(2026,4,15))*Billing_Inputs!$B$3)/MAX(1,E8)*E8,E8*Billing_Inputs!$B$8)</f>
        <v/>
      </c>
      <c r="J8">
        <f>F8+G8+H8+I8</f>
        <v/>
      </c>
    </row>
    <row r="9">
      <c r="A9" t="inlineStr">
        <is>
          <t>2026-04-16</t>
        </is>
      </c>
      <c r="B9" t="n">
        <v>5</v>
      </c>
      <c r="C9" t="n">
        <v>9</v>
      </c>
      <c r="D9" t="n">
        <v>10</v>
      </c>
      <c r="E9" t="n">
        <v>1</v>
      </c>
      <c r="F9">
        <f>SUMIFS(Trip_Detail!$R:$R,Trip_Detail!$C:$C,A9,Trip_Detail!$C:$C,"&lt;="&amp;DATE(2026,4,11))*Billing_Inputs!$B$2+SUMIFS(Trip_Detail!$R:$R,Trip_Detail!$C:$C,A9,Trip_Detail!$C:$C,"&gt;="&amp;DATE(2026,4,12),Trip_Detail!$C:$C,"&lt;="&amp;DATE(2026,4,15))*Billing_Inputs!$B$3</f>
        <v/>
      </c>
      <c r="G9">
        <f>SUMIFS(Trip_Detail!$S:$S,Trip_Detail!$C:$C,A9)*Billing_Inputs!$B$4</f>
        <v/>
      </c>
      <c r="H9">
        <f>SUMIFS(Trip_Detail!$T:$T,Trip_Detail!$C:$C,A9)*Billing_Inputs!$B$5</f>
        <v/>
      </c>
      <c r="I9">
        <f>IF(Billing_Inputs!$B$8="",(SUMIFS(Trip_Detail!$R:$R,Trip_Detail!$C:$C,A9,Trip_Detail!$C:$C,"&lt;="&amp;DATE(2026,4,11))*Billing_Inputs!$B$2+SUMIFS(Trip_Detail!$R:$R,Trip_Detail!$C:$C,A9,Trip_Detail!$C:$C,"&gt;="&amp;DATE(2026,4,12),Trip_Detail!$C:$C,"&lt;="&amp;DATE(2026,4,15))*Billing_Inputs!$B$3)/MAX(1,E9)*E9,E9*Billing_Inputs!$B$8)</f>
        <v/>
      </c>
      <c r="J9">
        <f>F9+G9+H9+I9</f>
        <v/>
      </c>
    </row>
    <row r="10">
      <c r="A10" t="inlineStr">
        <is>
          <t>2026-04-17</t>
        </is>
      </c>
      <c r="B10" t="n">
        <v>5</v>
      </c>
      <c r="C10" t="n">
        <v>5</v>
      </c>
      <c r="D10" t="n">
        <v>10</v>
      </c>
      <c r="E10" t="n">
        <v>5</v>
      </c>
      <c r="F10">
        <f>SUMIFS(Trip_Detail!$R:$R,Trip_Detail!$C:$C,A10,Trip_Detail!$C:$C,"&lt;="&amp;DATE(2026,4,11))*Billing_Inputs!$B$2+SUMIFS(Trip_Detail!$R:$R,Trip_Detail!$C:$C,A10,Trip_Detail!$C:$C,"&gt;="&amp;DATE(2026,4,12),Trip_Detail!$C:$C,"&lt;="&amp;DATE(2026,4,15))*Billing_Inputs!$B$3</f>
        <v/>
      </c>
      <c r="G10">
        <f>SUMIFS(Trip_Detail!$S:$S,Trip_Detail!$C:$C,A10)*Billing_Inputs!$B$4</f>
        <v/>
      </c>
      <c r="H10">
        <f>SUMIFS(Trip_Detail!$T:$T,Trip_Detail!$C:$C,A10)*Billing_Inputs!$B$5</f>
        <v/>
      </c>
      <c r="I10">
        <f>IF(Billing_Inputs!$B$8="",(SUMIFS(Trip_Detail!$R:$R,Trip_Detail!$C:$C,A10,Trip_Detail!$C:$C,"&lt;="&amp;DATE(2026,4,11))*Billing_Inputs!$B$2+SUMIFS(Trip_Detail!$R:$R,Trip_Detail!$C:$C,A10,Trip_Detail!$C:$C,"&gt;="&amp;DATE(2026,4,12),Trip_Detail!$C:$C,"&lt;="&amp;DATE(2026,4,15))*Billing_Inputs!$B$3)/MAX(1,E10)*E10,E10*Billing_Inputs!$B$8)</f>
        <v/>
      </c>
      <c r="J10">
        <f>F10+G10+H10+I10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Activity_Date</t>
        </is>
      </c>
      <c r="B1" t="inlineStr">
        <is>
          <t>Plate</t>
        </is>
      </c>
      <c r="C1" t="inlineStr">
        <is>
          <t>Site</t>
        </is>
      </c>
      <c r="D1" t="inlineStr">
        <is>
          <t>Matched_Cycle_h</t>
        </is>
      </c>
      <c r="E1" t="inlineStr">
        <is>
          <t>Unmatched_Origin_h</t>
        </is>
      </c>
      <c r="F1" t="inlineStr">
        <is>
          <t>Unmatched_Dest_h</t>
        </is>
      </c>
      <c r="G1" t="inlineStr">
        <is>
          <t>Unmatched_Total_h</t>
        </is>
      </c>
      <c r="H1" t="inlineStr">
        <is>
          <t>Combined_h</t>
        </is>
      </c>
      <c r="I1" t="inlineStr">
        <is>
          <t>Gap_vs_24_h</t>
        </is>
      </c>
    </row>
    <row r="2">
      <c r="A2" t="inlineStr">
        <is>
          <t>2026-04-09</t>
        </is>
      </c>
      <c r="B2" t="inlineStr">
        <is>
          <t>71-8001</t>
        </is>
      </c>
      <c r="C2" t="inlineStr">
        <is>
          <t>BigC</t>
        </is>
      </c>
      <c r="D2" t="n">
        <v>19.18</v>
      </c>
      <c r="E2" t="n">
        <v>0</v>
      </c>
      <c r="F2" t="n">
        <v>0</v>
      </c>
      <c r="G2" t="n">
        <v>0</v>
      </c>
      <c r="H2" t="n">
        <v>19.18</v>
      </c>
      <c r="I2" t="n">
        <v>4.82</v>
      </c>
    </row>
    <row r="3">
      <c r="A3" t="inlineStr">
        <is>
          <t>2026-04-09</t>
        </is>
      </c>
      <c r="B3" t="inlineStr">
        <is>
          <t>71-8002</t>
        </is>
      </c>
      <c r="C3" t="inlineStr">
        <is>
          <t>BigC</t>
        </is>
      </c>
      <c r="D3" t="n">
        <v>18.98</v>
      </c>
      <c r="E3" t="n">
        <v>0</v>
      </c>
      <c r="F3" t="n">
        <v>0</v>
      </c>
      <c r="G3" t="n">
        <v>0</v>
      </c>
      <c r="H3" t="n">
        <v>18.98</v>
      </c>
      <c r="I3" t="n">
        <v>5.02</v>
      </c>
    </row>
    <row r="4">
      <c r="A4" t="inlineStr">
        <is>
          <t>2026-04-10</t>
        </is>
      </c>
      <c r="B4" t="inlineStr">
        <is>
          <t>71-5041</t>
        </is>
      </c>
      <c r="C4" t="inlineStr">
        <is>
          <t>BigC</t>
        </is>
      </c>
      <c r="D4" t="n">
        <v>21.94</v>
      </c>
      <c r="E4" t="n">
        <v>0</v>
      </c>
      <c r="F4" t="n">
        <v>0</v>
      </c>
      <c r="G4" t="n">
        <v>0</v>
      </c>
      <c r="H4" t="n">
        <v>21.94</v>
      </c>
      <c r="I4" t="n">
        <v>2.06</v>
      </c>
    </row>
    <row r="5">
      <c r="A5" t="inlineStr">
        <is>
          <t>2026-04-10</t>
        </is>
      </c>
      <c r="B5" t="inlineStr">
        <is>
          <t>71-8001</t>
        </is>
      </c>
      <c r="C5" t="inlineStr">
        <is>
          <t>BigC</t>
        </is>
      </c>
      <c r="D5" t="n">
        <v>20.9</v>
      </c>
      <c r="E5" t="n">
        <v>0</v>
      </c>
      <c r="F5" t="n">
        <v>0</v>
      </c>
      <c r="G5" t="n">
        <v>0</v>
      </c>
      <c r="H5" t="n">
        <v>20.9</v>
      </c>
      <c r="I5" t="n">
        <v>3.1</v>
      </c>
    </row>
    <row r="6">
      <c r="A6" t="inlineStr">
        <is>
          <t>2026-04-10</t>
        </is>
      </c>
      <c r="B6" t="inlineStr">
        <is>
          <t>71-8002</t>
        </is>
      </c>
      <c r="C6" t="inlineStr">
        <is>
          <t>BigC</t>
        </is>
      </c>
      <c r="D6" t="n">
        <v>24.42</v>
      </c>
      <c r="E6" t="n">
        <v>0</v>
      </c>
      <c r="F6" t="n">
        <v>0</v>
      </c>
      <c r="G6" t="n">
        <v>0</v>
      </c>
      <c r="H6" t="n">
        <v>24.42</v>
      </c>
      <c r="I6" t="n">
        <v>-0.42</v>
      </c>
    </row>
    <row r="7">
      <c r="A7" t="inlineStr">
        <is>
          <t>2026-04-10</t>
        </is>
      </c>
      <c r="B7" t="inlineStr">
        <is>
          <t>71-8003</t>
        </is>
      </c>
      <c r="C7" t="inlineStr">
        <is>
          <t>BigC</t>
        </is>
      </c>
      <c r="D7" t="n">
        <v>24</v>
      </c>
      <c r="E7" t="n">
        <v>0</v>
      </c>
      <c r="F7" t="n">
        <v>0</v>
      </c>
      <c r="G7" t="n">
        <v>0</v>
      </c>
      <c r="H7" t="n">
        <v>24</v>
      </c>
      <c r="I7" t="n">
        <v>0</v>
      </c>
    </row>
    <row r="8">
      <c r="A8" t="inlineStr">
        <is>
          <t>2026-04-10</t>
        </is>
      </c>
      <c r="B8" t="inlineStr">
        <is>
          <t>71-8683</t>
        </is>
      </c>
      <c r="C8" t="inlineStr">
        <is>
          <t>LCB</t>
        </is>
      </c>
      <c r="D8" t="n">
        <v>21.59</v>
      </c>
      <c r="E8" t="n">
        <v>0</v>
      </c>
      <c r="F8" t="n">
        <v>0</v>
      </c>
      <c r="G8" t="n">
        <v>0</v>
      </c>
      <c r="H8" t="n">
        <v>21.59</v>
      </c>
      <c r="I8" t="n">
        <v>2.41</v>
      </c>
    </row>
    <row r="9">
      <c r="A9" t="inlineStr">
        <is>
          <t>2026-04-10</t>
        </is>
      </c>
      <c r="B9" t="inlineStr">
        <is>
          <t>71-8684</t>
        </is>
      </c>
      <c r="C9" t="inlineStr">
        <is>
          <t>LCB</t>
        </is>
      </c>
      <c r="D9" t="n">
        <v>12.24</v>
      </c>
      <c r="E9" t="n">
        <v>0</v>
      </c>
      <c r="F9" t="n">
        <v>0</v>
      </c>
      <c r="G9" t="n">
        <v>0</v>
      </c>
      <c r="H9" t="n">
        <v>12.24</v>
      </c>
      <c r="I9" t="n">
        <v>11.76</v>
      </c>
    </row>
    <row r="10">
      <c r="A10" t="inlineStr">
        <is>
          <t>2026-04-11</t>
        </is>
      </c>
      <c r="B10" t="inlineStr">
        <is>
          <t>71-5041</t>
        </is>
      </c>
      <c r="C10" t="inlineStr">
        <is>
          <t>BigC</t>
        </is>
      </c>
      <c r="D10" t="n">
        <v>13.24</v>
      </c>
      <c r="E10" t="n">
        <v>0</v>
      </c>
      <c r="F10" t="n">
        <v>0</v>
      </c>
      <c r="G10" t="n">
        <v>0</v>
      </c>
      <c r="H10" t="n">
        <v>13.24</v>
      </c>
      <c r="I10" t="n">
        <v>10.76</v>
      </c>
    </row>
    <row r="11">
      <c r="A11" t="inlineStr">
        <is>
          <t>2026-04-11</t>
        </is>
      </c>
      <c r="B11" t="inlineStr">
        <is>
          <t>71-8001</t>
        </is>
      </c>
      <c r="C11" t="inlineStr">
        <is>
          <t>BigC</t>
        </is>
      </c>
      <c r="D11" t="n">
        <v>27.06</v>
      </c>
      <c r="E11" t="n">
        <v>0</v>
      </c>
      <c r="F11" t="n">
        <v>0</v>
      </c>
      <c r="G11" t="n">
        <v>0</v>
      </c>
      <c r="H11" t="n">
        <v>27.06</v>
      </c>
      <c r="I11" t="n">
        <v>-3.06</v>
      </c>
    </row>
    <row r="12">
      <c r="A12" t="inlineStr">
        <is>
          <t>2026-04-11</t>
        </is>
      </c>
      <c r="B12" t="inlineStr">
        <is>
          <t>71-8002</t>
        </is>
      </c>
      <c r="C12" t="inlineStr">
        <is>
          <t>BigC</t>
        </is>
      </c>
      <c r="D12" t="n">
        <v>21.59</v>
      </c>
      <c r="E12" t="n">
        <v>0</v>
      </c>
      <c r="F12" t="n">
        <v>0</v>
      </c>
      <c r="G12" t="n">
        <v>0</v>
      </c>
      <c r="H12" t="n">
        <v>21.59</v>
      </c>
      <c r="I12" t="n">
        <v>2.41</v>
      </c>
    </row>
    <row r="13">
      <c r="A13" t="inlineStr">
        <is>
          <t>2026-04-11</t>
        </is>
      </c>
      <c r="B13" t="inlineStr">
        <is>
          <t>71-8003</t>
        </is>
      </c>
      <c r="C13" t="inlineStr">
        <is>
          <t>BigC</t>
        </is>
      </c>
      <c r="D13" t="n">
        <v>22.12</v>
      </c>
      <c r="E13" t="n">
        <v>0</v>
      </c>
      <c r="F13" t="n">
        <v>0</v>
      </c>
      <c r="G13" t="n">
        <v>0</v>
      </c>
      <c r="H13" t="n">
        <v>22.12</v>
      </c>
      <c r="I13" t="n">
        <v>1.88</v>
      </c>
    </row>
    <row r="14">
      <c r="A14" t="inlineStr">
        <is>
          <t>2026-04-12</t>
        </is>
      </c>
      <c r="B14" t="inlineStr">
        <is>
          <t>71-5041</t>
        </is>
      </c>
      <c r="C14" t="inlineStr">
        <is>
          <t>BigC</t>
        </is>
      </c>
      <c r="D14" t="n">
        <v>20.46</v>
      </c>
      <c r="E14" t="n">
        <v>0</v>
      </c>
      <c r="F14" t="n">
        <v>0</v>
      </c>
      <c r="G14" t="n">
        <v>0</v>
      </c>
      <c r="H14" t="n">
        <v>20.46</v>
      </c>
      <c r="I14" t="n">
        <v>3.54</v>
      </c>
    </row>
    <row r="15">
      <c r="A15" t="inlineStr">
        <is>
          <t>2026-04-12</t>
        </is>
      </c>
      <c r="B15" t="inlineStr">
        <is>
          <t>71-8681</t>
        </is>
      </c>
      <c r="C15" t="inlineStr">
        <is>
          <t>LCB</t>
        </is>
      </c>
      <c r="D15" t="n">
        <v>16.87</v>
      </c>
      <c r="E15" t="n">
        <v>0</v>
      </c>
      <c r="F15" t="n">
        <v>0</v>
      </c>
      <c r="G15" t="n">
        <v>0</v>
      </c>
      <c r="H15" t="n">
        <v>16.87</v>
      </c>
      <c r="I15" t="n">
        <v>7.13</v>
      </c>
    </row>
    <row r="16">
      <c r="A16" t="inlineStr">
        <is>
          <t>2026-04-12</t>
        </is>
      </c>
      <c r="B16" t="inlineStr">
        <is>
          <t>71-8684</t>
        </is>
      </c>
      <c r="C16" t="inlineStr">
        <is>
          <t>LCB</t>
        </is>
      </c>
      <c r="D16" t="n">
        <v>5.6</v>
      </c>
      <c r="E16" t="n">
        <v>0</v>
      </c>
      <c r="F16" t="n">
        <v>0</v>
      </c>
      <c r="G16" t="n">
        <v>0</v>
      </c>
      <c r="H16" t="n">
        <v>5.6</v>
      </c>
      <c r="I16" t="n">
        <v>18.4</v>
      </c>
    </row>
    <row r="17">
      <c r="A17" t="inlineStr">
        <is>
          <t>2026-04-12</t>
        </is>
      </c>
      <c r="B17" t="inlineStr">
        <is>
          <t>71-9629</t>
        </is>
      </c>
      <c r="C17" t="inlineStr">
        <is>
          <t>LCB</t>
        </is>
      </c>
      <c r="D17" t="n">
        <v>11.25</v>
      </c>
      <c r="E17" t="n">
        <v>4.47</v>
      </c>
      <c r="F17" t="n">
        <v>0</v>
      </c>
      <c r="G17" t="n">
        <v>4.47</v>
      </c>
      <c r="H17" t="n">
        <v>15.72</v>
      </c>
      <c r="I17" t="n">
        <v>8.279999999999999</v>
      </c>
    </row>
    <row r="18">
      <c r="A18" t="inlineStr">
        <is>
          <t>2026-04-12</t>
        </is>
      </c>
      <c r="B18" t="inlineStr">
        <is>
          <t>72-1217</t>
        </is>
      </c>
      <c r="C18" t="inlineStr">
        <is>
          <t>LCB</t>
        </is>
      </c>
      <c r="D18" t="n">
        <v>10.21</v>
      </c>
      <c r="E18" t="n">
        <v>0</v>
      </c>
      <c r="F18" t="n">
        <v>0</v>
      </c>
      <c r="G18" t="n">
        <v>0</v>
      </c>
      <c r="H18" t="n">
        <v>10.21</v>
      </c>
      <c r="I18" t="n">
        <v>13.79</v>
      </c>
    </row>
    <row r="19">
      <c r="A19" t="inlineStr">
        <is>
          <t>2026-04-13</t>
        </is>
      </c>
      <c r="B19" t="inlineStr">
        <is>
          <t>71-5041</t>
        </is>
      </c>
      <c r="C19" t="inlineStr">
        <is>
          <t>BigC</t>
        </is>
      </c>
      <c r="D19" t="n">
        <v>7.94</v>
      </c>
      <c r="E19" t="n">
        <v>0</v>
      </c>
      <c r="F19" t="n">
        <v>0</v>
      </c>
      <c r="G19" t="n">
        <v>0</v>
      </c>
      <c r="H19" t="n">
        <v>7.94</v>
      </c>
      <c r="I19" t="n">
        <v>16.06</v>
      </c>
    </row>
    <row r="20">
      <c r="A20" t="inlineStr">
        <is>
          <t>2026-04-13</t>
        </is>
      </c>
      <c r="B20" t="inlineStr">
        <is>
          <t>71-6802</t>
        </is>
      </c>
      <c r="C20" t="inlineStr">
        <is>
          <t>LCB</t>
        </is>
      </c>
      <c r="D20" t="n">
        <v>23.07</v>
      </c>
      <c r="E20" t="n">
        <v>0.35</v>
      </c>
      <c r="F20" t="n">
        <v>0</v>
      </c>
      <c r="G20" t="n">
        <v>0.35</v>
      </c>
      <c r="H20" t="n">
        <v>23.42</v>
      </c>
      <c r="I20" t="n">
        <v>0.58</v>
      </c>
    </row>
    <row r="21">
      <c r="A21" t="inlineStr">
        <is>
          <t>2026-04-13</t>
        </is>
      </c>
      <c r="B21" t="inlineStr">
        <is>
          <t>71-8681</t>
        </is>
      </c>
      <c r="C21" t="inlineStr">
        <is>
          <t>LCB</t>
        </is>
      </c>
      <c r="D21" t="n">
        <v>0</v>
      </c>
      <c r="E21" t="n">
        <v>4.14</v>
      </c>
      <c r="F21" t="n">
        <v>0</v>
      </c>
      <c r="G21" t="n">
        <v>4.14</v>
      </c>
      <c r="H21" t="n">
        <v>4.14</v>
      </c>
      <c r="I21" t="n">
        <v>19.86</v>
      </c>
    </row>
    <row r="22">
      <c r="A22" t="inlineStr">
        <is>
          <t>2026-04-13</t>
        </is>
      </c>
      <c r="B22" t="inlineStr">
        <is>
          <t>71-9629</t>
        </is>
      </c>
      <c r="C22" t="inlineStr">
        <is>
          <t>LCB</t>
        </is>
      </c>
      <c r="D22" t="n">
        <v>14.81</v>
      </c>
      <c r="E22" t="n">
        <v>0</v>
      </c>
      <c r="F22" t="n">
        <v>0</v>
      </c>
      <c r="G22" t="n">
        <v>0</v>
      </c>
      <c r="H22" t="n">
        <v>14.81</v>
      </c>
      <c r="I22" t="n">
        <v>9.19</v>
      </c>
    </row>
    <row r="23">
      <c r="A23" t="inlineStr">
        <is>
          <t>2026-04-13</t>
        </is>
      </c>
      <c r="B23" t="inlineStr">
        <is>
          <t>72-1217</t>
        </is>
      </c>
      <c r="C23" t="inlineStr">
        <is>
          <t>LCB</t>
        </is>
      </c>
      <c r="D23" t="n">
        <v>11.26</v>
      </c>
      <c r="E23" t="n">
        <v>0</v>
      </c>
      <c r="F23" t="n">
        <v>0</v>
      </c>
      <c r="G23" t="n">
        <v>0</v>
      </c>
      <c r="H23" t="n">
        <v>11.26</v>
      </c>
      <c r="I23" t="n">
        <v>12.74</v>
      </c>
    </row>
    <row r="24">
      <c r="A24" t="inlineStr">
        <is>
          <t>2026-04-14</t>
        </is>
      </c>
      <c r="B24" t="inlineStr">
        <is>
          <t>71-6802</t>
        </is>
      </c>
      <c r="C24" t="inlineStr">
        <is>
          <t>LCB</t>
        </is>
      </c>
      <c r="D24" t="n">
        <v>8.32</v>
      </c>
      <c r="E24" t="n">
        <v>0</v>
      </c>
      <c r="F24" t="n">
        <v>0</v>
      </c>
      <c r="G24" t="n">
        <v>0</v>
      </c>
      <c r="H24" t="n">
        <v>8.32</v>
      </c>
      <c r="I24" t="n">
        <v>15.68</v>
      </c>
    </row>
    <row r="25">
      <c r="A25" t="inlineStr">
        <is>
          <t>2026-04-14</t>
        </is>
      </c>
      <c r="B25" t="inlineStr">
        <is>
          <t>71-8681</t>
        </is>
      </c>
      <c r="C25" t="inlineStr">
        <is>
          <t>LCB</t>
        </is>
      </c>
      <c r="D25" t="n">
        <v>13.65</v>
      </c>
      <c r="E25" t="n">
        <v>0</v>
      </c>
      <c r="F25" t="n">
        <v>0.86</v>
      </c>
      <c r="G25" t="n">
        <v>0.86</v>
      </c>
      <c r="H25" t="n">
        <v>14.51</v>
      </c>
      <c r="I25" t="n">
        <v>9.49</v>
      </c>
    </row>
    <row r="26">
      <c r="A26" t="inlineStr">
        <is>
          <t>2026-04-14</t>
        </is>
      </c>
      <c r="B26" t="inlineStr">
        <is>
          <t>71-9629</t>
        </is>
      </c>
      <c r="C26" t="inlineStr">
        <is>
          <t>LCB</t>
        </is>
      </c>
      <c r="D26" t="n">
        <v>13.12</v>
      </c>
      <c r="E26" t="n">
        <v>0</v>
      </c>
      <c r="F26" t="n">
        <v>0</v>
      </c>
      <c r="G26" t="n">
        <v>0</v>
      </c>
      <c r="H26" t="n">
        <v>13.12</v>
      </c>
      <c r="I26" t="n">
        <v>10.88</v>
      </c>
    </row>
    <row r="27">
      <c r="A27" t="inlineStr">
        <is>
          <t>2026-04-14</t>
        </is>
      </c>
      <c r="B27" t="inlineStr">
        <is>
          <t>72-1217</t>
        </is>
      </c>
      <c r="C27" t="inlineStr">
        <is>
          <t>LCB</t>
        </is>
      </c>
      <c r="D27" t="n">
        <v>10.29</v>
      </c>
      <c r="E27" t="n">
        <v>0</v>
      </c>
      <c r="F27" t="n">
        <v>0</v>
      </c>
      <c r="G27" t="n">
        <v>0</v>
      </c>
      <c r="H27" t="n">
        <v>10.29</v>
      </c>
      <c r="I27" t="n">
        <v>13.71</v>
      </c>
    </row>
    <row r="28">
      <c r="A28" t="inlineStr">
        <is>
          <t>2026-04-14</t>
        </is>
      </c>
      <c r="B28" t="inlineStr">
        <is>
          <t>72-1220</t>
        </is>
      </c>
      <c r="C28" t="inlineStr">
        <is>
          <t>LCB</t>
        </is>
      </c>
      <c r="D28" t="n">
        <v>5.47</v>
      </c>
      <c r="E28" t="n">
        <v>0</v>
      </c>
      <c r="F28" t="n">
        <v>0.5600000000000001</v>
      </c>
      <c r="G28" t="n">
        <v>0.5600000000000001</v>
      </c>
      <c r="H28" t="n">
        <v>6.03</v>
      </c>
      <c r="I28" t="n">
        <v>17.97</v>
      </c>
    </row>
    <row r="29">
      <c r="A29" t="inlineStr">
        <is>
          <t>2026-04-15</t>
        </is>
      </c>
      <c r="B29" t="inlineStr">
        <is>
          <t>71-6802</t>
        </is>
      </c>
      <c r="C29" t="inlineStr">
        <is>
          <t>LCB</t>
        </is>
      </c>
      <c r="D29" t="n">
        <v>11.37</v>
      </c>
      <c r="E29" t="n">
        <v>2.43</v>
      </c>
      <c r="F29" t="n">
        <v>0</v>
      </c>
      <c r="G29" t="n">
        <v>2.43</v>
      </c>
      <c r="H29" t="n">
        <v>13.8</v>
      </c>
      <c r="I29" t="n">
        <v>10.2</v>
      </c>
    </row>
    <row r="30">
      <c r="A30" t="inlineStr">
        <is>
          <t>2026-04-15</t>
        </is>
      </c>
      <c r="B30" t="inlineStr">
        <is>
          <t>71-8681</t>
        </is>
      </c>
      <c r="C30" t="inlineStr">
        <is>
          <t>LCB</t>
        </is>
      </c>
      <c r="D30" t="n">
        <v>21</v>
      </c>
      <c r="E30" t="n">
        <v>0</v>
      </c>
      <c r="F30" t="n">
        <v>0</v>
      </c>
      <c r="G30" t="n">
        <v>0</v>
      </c>
      <c r="H30" t="n">
        <v>21</v>
      </c>
      <c r="I30" t="n">
        <v>3</v>
      </c>
    </row>
    <row r="31">
      <c r="A31" t="inlineStr">
        <is>
          <t>2026-04-15</t>
        </is>
      </c>
      <c r="B31" t="inlineStr">
        <is>
          <t>71-9629</t>
        </is>
      </c>
      <c r="C31" t="inlineStr">
        <is>
          <t>LCB</t>
        </is>
      </c>
      <c r="D31" t="n">
        <v>13.26</v>
      </c>
      <c r="E31" t="n">
        <v>0</v>
      </c>
      <c r="F31" t="n">
        <v>0</v>
      </c>
      <c r="G31" t="n">
        <v>0</v>
      </c>
      <c r="H31" t="n">
        <v>13.26</v>
      </c>
      <c r="I31" t="n">
        <v>10.74</v>
      </c>
    </row>
    <row r="32">
      <c r="A32" t="inlineStr">
        <is>
          <t>2026-04-15</t>
        </is>
      </c>
      <c r="B32" t="inlineStr">
        <is>
          <t>72-1217</t>
        </is>
      </c>
      <c r="C32" t="inlineStr">
        <is>
          <t>LCB</t>
        </is>
      </c>
      <c r="D32" t="n">
        <v>13.79</v>
      </c>
      <c r="E32" t="n">
        <v>0</v>
      </c>
      <c r="F32" t="n">
        <v>0</v>
      </c>
      <c r="G32" t="n">
        <v>0</v>
      </c>
      <c r="H32" t="n">
        <v>13.79</v>
      </c>
      <c r="I32" t="n">
        <v>10.21</v>
      </c>
    </row>
    <row r="33">
      <c r="A33" t="inlineStr">
        <is>
          <t>2026-04-15</t>
        </is>
      </c>
      <c r="B33" t="inlineStr">
        <is>
          <t>72-1220</t>
        </is>
      </c>
      <c r="C33" t="inlineStr">
        <is>
          <t>LCB</t>
        </is>
      </c>
      <c r="D33" t="n">
        <v>4.17</v>
      </c>
      <c r="E33" t="n">
        <v>9.48</v>
      </c>
      <c r="F33" t="n">
        <v>0</v>
      </c>
      <c r="G33" t="n">
        <v>9.48</v>
      </c>
      <c r="H33" t="n">
        <v>13.65</v>
      </c>
      <c r="I33" t="n">
        <v>10.35</v>
      </c>
    </row>
    <row r="34">
      <c r="A34" t="inlineStr">
        <is>
          <t>2026-04-16</t>
        </is>
      </c>
      <c r="B34" t="inlineStr">
        <is>
          <t>71-6802</t>
        </is>
      </c>
      <c r="C34" t="inlineStr">
        <is>
          <t>LCB</t>
        </is>
      </c>
      <c r="D34" t="n">
        <v>27.93</v>
      </c>
      <c r="E34" t="n">
        <v>0</v>
      </c>
      <c r="F34" t="n">
        <v>0</v>
      </c>
      <c r="G34" t="n">
        <v>0</v>
      </c>
      <c r="H34" t="n">
        <v>27.93</v>
      </c>
      <c r="I34" t="n">
        <v>-3.93</v>
      </c>
    </row>
    <row r="35">
      <c r="A35" t="inlineStr">
        <is>
          <t>2026-04-16</t>
        </is>
      </c>
      <c r="B35" t="inlineStr">
        <is>
          <t>71-8681</t>
        </is>
      </c>
      <c r="C35" t="inlineStr">
        <is>
          <t>LCB</t>
        </is>
      </c>
      <c r="D35" t="n">
        <v>10.28</v>
      </c>
      <c r="E35" t="n">
        <v>0</v>
      </c>
      <c r="F35" t="n">
        <v>0</v>
      </c>
      <c r="G35" t="n">
        <v>0</v>
      </c>
      <c r="H35" t="n">
        <v>10.28</v>
      </c>
      <c r="I35" t="n">
        <v>13.72</v>
      </c>
    </row>
    <row r="36">
      <c r="A36" t="inlineStr">
        <is>
          <t>2026-04-16</t>
        </is>
      </c>
      <c r="B36" t="inlineStr">
        <is>
          <t>71-8967</t>
        </is>
      </c>
      <c r="C36" t="inlineStr">
        <is>
          <t>LCB</t>
        </is>
      </c>
      <c r="D36" t="n">
        <v>18.73</v>
      </c>
      <c r="E36" t="n">
        <v>0</v>
      </c>
      <c r="F36" t="n">
        <v>1.55</v>
      </c>
      <c r="G36" t="n">
        <v>1.55</v>
      </c>
      <c r="H36" t="n">
        <v>20.28</v>
      </c>
      <c r="I36" t="n">
        <v>3.72</v>
      </c>
    </row>
    <row r="37">
      <c r="A37" t="inlineStr">
        <is>
          <t>2026-04-16</t>
        </is>
      </c>
      <c r="B37" t="inlineStr">
        <is>
          <t>71-9629</t>
        </is>
      </c>
      <c r="C37" t="inlineStr">
        <is>
          <t>LCB</t>
        </is>
      </c>
      <c r="D37" t="n">
        <v>11.2</v>
      </c>
      <c r="E37" t="n">
        <v>0</v>
      </c>
      <c r="F37" t="n">
        <v>0</v>
      </c>
      <c r="G37" t="n">
        <v>0</v>
      </c>
      <c r="H37" t="n">
        <v>11.2</v>
      </c>
      <c r="I37" t="n">
        <v>12.8</v>
      </c>
    </row>
    <row r="38">
      <c r="A38" t="inlineStr">
        <is>
          <t>2026-04-16</t>
        </is>
      </c>
      <c r="B38" t="inlineStr">
        <is>
          <t>72-1217</t>
        </is>
      </c>
      <c r="C38" t="inlineStr">
        <is>
          <t>LCB</t>
        </is>
      </c>
      <c r="D38" t="n">
        <v>10.19</v>
      </c>
      <c r="E38" t="n">
        <v>0</v>
      </c>
      <c r="F38" t="n">
        <v>0</v>
      </c>
      <c r="G38" t="n">
        <v>0</v>
      </c>
      <c r="H38" t="n">
        <v>10.19</v>
      </c>
      <c r="I38" t="n">
        <v>13.81</v>
      </c>
    </row>
    <row r="39">
      <c r="A39" t="inlineStr">
        <is>
          <t>2026-04-17</t>
        </is>
      </c>
      <c r="B39" t="inlineStr">
        <is>
          <t>71-6802</t>
        </is>
      </c>
      <c r="C39" t="inlineStr">
        <is>
          <t>LCB</t>
        </is>
      </c>
      <c r="D39" t="n">
        <v>0</v>
      </c>
      <c r="E39" t="n">
        <v>1.68</v>
      </c>
      <c r="F39" t="n">
        <v>0</v>
      </c>
      <c r="G39" t="n">
        <v>1.68</v>
      </c>
      <c r="H39" t="n">
        <v>1.68</v>
      </c>
      <c r="I39" t="n">
        <v>22.32</v>
      </c>
    </row>
    <row r="40">
      <c r="A40" t="inlineStr">
        <is>
          <t>2026-04-17</t>
        </is>
      </c>
      <c r="B40" t="inlineStr">
        <is>
          <t>71-8681</t>
        </is>
      </c>
      <c r="C40" t="inlineStr">
        <is>
          <t>LCB</t>
        </is>
      </c>
      <c r="D40" t="n">
        <v>0</v>
      </c>
      <c r="E40" t="n">
        <v>2.23</v>
      </c>
      <c r="F40" t="n">
        <v>0</v>
      </c>
      <c r="G40" t="n">
        <v>2.23</v>
      </c>
      <c r="H40" t="n">
        <v>2.23</v>
      </c>
      <c r="I40" t="n">
        <v>21.77</v>
      </c>
    </row>
    <row r="41">
      <c r="A41" t="inlineStr">
        <is>
          <t>2026-04-17</t>
        </is>
      </c>
      <c r="B41" t="inlineStr">
        <is>
          <t>71-8967</t>
        </is>
      </c>
      <c r="C41" t="inlineStr">
        <is>
          <t>LCB</t>
        </is>
      </c>
      <c r="D41" t="n">
        <v>0</v>
      </c>
      <c r="E41" t="n">
        <v>0.47</v>
      </c>
      <c r="F41" t="n">
        <v>0</v>
      </c>
      <c r="G41" t="n">
        <v>0.47</v>
      </c>
      <c r="H41" t="n">
        <v>0.47</v>
      </c>
      <c r="I41" t="n">
        <v>23.53</v>
      </c>
    </row>
    <row r="42">
      <c r="A42" t="inlineStr">
        <is>
          <t>2026-04-17</t>
        </is>
      </c>
      <c r="B42" t="inlineStr">
        <is>
          <t>71-9629</t>
        </is>
      </c>
      <c r="C42" t="inlineStr">
        <is>
          <t>LCB</t>
        </is>
      </c>
      <c r="D42" t="n">
        <v>5.52</v>
      </c>
      <c r="E42" t="n">
        <v>0</v>
      </c>
      <c r="F42" t="n">
        <v>0</v>
      </c>
      <c r="G42" t="n">
        <v>0</v>
      </c>
      <c r="H42" t="n">
        <v>5.52</v>
      </c>
      <c r="I42" t="n">
        <v>18.48</v>
      </c>
    </row>
    <row r="43">
      <c r="A43" t="inlineStr">
        <is>
          <t>2026-04-17</t>
        </is>
      </c>
      <c r="B43" t="inlineStr">
        <is>
          <t>72-1217</t>
        </is>
      </c>
      <c r="C43" t="inlineStr">
        <is>
          <t>LCB</t>
        </is>
      </c>
      <c r="D43" t="n">
        <v>3.65</v>
      </c>
      <c r="E43" t="n">
        <v>0.46</v>
      </c>
      <c r="F43" t="n">
        <v>0</v>
      </c>
      <c r="G43" t="n">
        <v>0.46</v>
      </c>
      <c r="H43" t="n">
        <v>4.11</v>
      </c>
      <c r="I43" t="n">
        <v>19.89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2026-04-17T06:09:25Z</dcterms:created>
  <dcterms:modified xmlns:dcterms="http://purl.org/dc/terms/" xmlns:xsi="http://www.w3.org/2001/XMLSchema-instance" xsi:type="dcterms:W3CDTF">2026-04-22T05:09:02Z</dcterms:modified>
</cp:coreProperties>
</file>