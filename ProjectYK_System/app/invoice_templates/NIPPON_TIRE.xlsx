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วางบิล Nippon\5.2026\"/>
    </mc:Choice>
  </mc:AlternateContent>
  <xr:revisionPtr revIDLastSave="0" documentId="13_ncr:1_{9BB0A48D-0DB8-4612-85DE-EF72CB7DA234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ปะหน้า" sheetId="1" r:id="rId1"/>
    <sheet name="ค่าขนส่ง" sheetId="2" r:id="rId2"/>
    <sheet name="ค่าทดรองจ่าย" sheetId="3" r:id="rId3"/>
  </sheets>
  <definedNames>
    <definedName name="_xlnm.Print_Area" localSheetId="1">ค่าขนส่ง!$A$1:$K$40</definedName>
  </definedNames>
  <calcPr calcId="191029"/>
  <extLst>
    <ext uri="GoogleSheetsCustomDataVersion2">
      <go:sheetsCustomData xmlns:go="http://customooxmlschemas.google.com/" r:id="rId7" roundtripDataChecksum="D+Kn20/GmdcA7nvkSM02PUbAoqqo04KMhUEsIq33/xU="/>
    </ext>
  </extLst>
</workbook>
</file>

<file path=xl/calcChain.xml><?xml version="1.0" encoding="utf-8"?>
<calcChain xmlns="http://schemas.openxmlformats.org/spreadsheetml/2006/main">
  <c r="C11" i="3" l="1"/>
  <c r="C12" i="3"/>
  <c r="C13" i="3"/>
  <c r="B16" i="3" l="1"/>
  <c r="K16" i="3" s="1"/>
  <c r="H16" i="3"/>
  <c r="G16" i="3"/>
  <c r="E16" i="3"/>
  <c r="D16" i="3"/>
  <c r="G8" i="3"/>
  <c r="J32" i="3"/>
  <c r="A32" i="3" s="1"/>
  <c r="I16" i="3"/>
  <c r="F16" i="3"/>
  <c r="A16" i="3"/>
  <c r="K8" i="3"/>
  <c r="B37" i="3" s="1"/>
  <c r="B36" i="2"/>
  <c r="J31" i="2"/>
  <c r="A31" i="2" s="1"/>
  <c r="B16" i="1"/>
  <c r="B12" i="1"/>
  <c r="B11" i="1"/>
  <c r="J9" i="1"/>
  <c r="B8" i="1"/>
  <c r="B17" i="1" l="1"/>
  <c r="I17" i="1"/>
  <c r="J17" i="1" s="1"/>
  <c r="I16" i="1"/>
  <c r="J16" i="1" s="1"/>
  <c r="J37" i="1" l="1"/>
  <c r="J39" i="1" s="1"/>
  <c r="C37" i="1" s="1"/>
</calcChain>
</file>

<file path=xl/sharedStrings.xml><?xml version="1.0" encoding="utf-8"?>
<sst xmlns="http://schemas.openxmlformats.org/spreadsheetml/2006/main" count="100" uniqueCount="70">
  <si>
    <r>
      <rPr>
        <b/>
        <sz val="16"/>
        <color theme="1"/>
        <rFont val="Browallia New"/>
        <family val="2"/>
      </rPr>
      <t>Y.K. Logistics CO., LTD.</t>
    </r>
    <r>
      <rPr>
        <sz val="12"/>
        <color theme="1"/>
        <rFont val="Browallia New"/>
        <family val="2"/>
      </rPr>
      <t xml:space="preserve">
บริษัท วาย.เค. ลอจิสติค จำกัด (สำนักงานใหญ่)
70 หมู่ 5 ตำบล เชียงรากน้อย อำเภอบางปะอิน จังหวัดพระนครศรีอยุธยา 13180
เลขประจำตัวผู้เสียภาษี 0125548009248</t>
    </r>
  </si>
  <si>
    <t>ใบปะหน้าวางบิลค่าขนส่ง</t>
  </si>
  <si>
    <t>ชื่อลูกค้า/Customer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</si>
  <si>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</si>
  <si>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</si>
  <si>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</si>
  <si>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</si>
  <si>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</si>
  <si>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</si>
  <si>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</si>
  <si>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</si>
  <si>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ราคาต่อหน่วย</t>
  </si>
  <si>
    <t>จำนวนเงิน</t>
  </si>
  <si>
    <t>Item</t>
  </si>
  <si>
    <t>Description</t>
  </si>
  <si>
    <t>Quantity</t>
  </si>
  <si>
    <t>Unit / Price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</si>
  <si>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</si>
  <si>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</si>
  <si>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</si>
  <si>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</si>
  <si>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</si>
  <si>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</si>
  <si>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</si>
  <si>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</si>
  <si>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</si>
  <si>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Y.K. Logistics  Co.,ltd</t>
  </si>
  <si>
    <t xml:space="preserve">        บริษัท  วาย.เค. ลอจิสติค  จำกัด (สำนักงานใหญ่)</t>
  </si>
  <si>
    <t xml:space="preserve">      70  หมู่ 5  ตำบลเชียงรากน้อย  อำเภอบางปะอิน  จังหวัดพระนครศรีอยุธยา  13180</t>
  </si>
  <si>
    <t xml:space="preserve">           เลขประจำตัวผู้เสียภาษี 0125548009248</t>
  </si>
  <si>
    <t>ใบแจ้งหนี้ / INVOICE</t>
  </si>
  <si>
    <t xml:space="preserve">ใบแจ้งหนี้เลขที่  </t>
  </si>
  <si>
    <t xml:space="preserve">วันที่ </t>
  </si>
  <si>
    <t>DATE</t>
  </si>
  <si>
    <t xml:space="preserve">CUSTOMER : </t>
  </si>
  <si>
    <t xml:space="preserve">ADDRESS    :  </t>
  </si>
  <si>
    <t xml:space="preserve">                          </t>
  </si>
  <si>
    <t>ลำดับ</t>
  </si>
  <si>
    <t>รายการบรรทุก</t>
  </si>
  <si>
    <t>CONT</t>
  </si>
  <si>
    <t>SIZE</t>
  </si>
  <si>
    <t>ทะเบียนรถ</t>
  </si>
  <si>
    <t>CUST.</t>
  </si>
  <si>
    <t>JOB</t>
  </si>
  <si>
    <t>วันที่บรรทุก</t>
  </si>
  <si>
    <t>หมายเหตุ</t>
  </si>
  <si>
    <t>ITEM</t>
  </si>
  <si>
    <t>TRUCK LIST</t>
  </si>
  <si>
    <t>TRUCK NO.</t>
  </si>
  <si>
    <t>AMOUNT</t>
  </si>
  <si>
    <t>REMAKR</t>
  </si>
  <si>
    <t>ผู้วางบิล.……………………….………</t>
  </si>
  <si>
    <t>วันที่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</si>
  <si>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</si>
  <si>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 xml:space="preserve">    เลขประจำตัวผู้เสียภาษี 0125548009248</t>
  </si>
  <si>
    <t>ใบแจ้งหนี้ทดรองจ่าย / Advance Billing</t>
  </si>
  <si>
    <t xml:space="preserve">ใบแจ้งยอดทดรองเลขที่  </t>
  </si>
  <si>
    <r>
      <rPr>
        <b/>
        <sz val="16"/>
        <color theme="1"/>
        <rFont val="Angsana New"/>
        <family val="1"/>
        <charset val="222"/>
      </rPr>
      <t xml:space="preserve">หมายเหตุ : </t>
    </r>
    <r>
      <rPr>
        <sz val="16"/>
        <color theme="1"/>
        <rFont val="Angsana New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</si>
  <si>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ค่าขนส่ง </t>
  </si>
  <si>
    <t xml:space="preserve"> </t>
  </si>
  <si>
    <t>LCB-KAO</t>
  </si>
  <si>
    <t>บริษัท นิปปอน เอ็กซ์เพรส โลจิสติกส์ (ประเทศไทย) จำกัด</t>
  </si>
  <si>
    <t xml:space="preserve">เลขประจำตัวผู้เสียภาษี 0105534021577  </t>
  </si>
  <si>
    <t>700/1057 ม.9 ต.มาบโป่ง  อ.พานทอง จ.ชลบุรี  20160</t>
  </si>
  <si>
    <t>NTIV2605-001</t>
  </si>
  <si>
    <t>KAO</t>
  </si>
  <si>
    <t>APTLCBJKT260500047</t>
  </si>
  <si>
    <t>72-1218</t>
  </si>
  <si>
    <t>APSU4234033</t>
  </si>
  <si>
    <t>เรทน้ำมัน = 39.97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</si>
</sst>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[$-1010409]d\ mmm\ yy"/>
    <numFmt numFmtId="189" formatCode="_-* #,##0.00_-;\-* #,##0.00_-;_-* &quot;-&quot;??_-;_-@"/>
  </numFmts>
  <fonts count="46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Browallia New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Times New Roman"/>
      <family val="1"/>
    </font>
    <font>
      <sz val="16"/>
      <color theme="1"/>
      <name val="Calibri"/>
      <family val="2"/>
    </font>
    <font>
      <sz val="20"/>
      <color theme="1"/>
      <name val="Angsana New"/>
      <family val="1"/>
    </font>
    <font>
      <sz val="14"/>
      <color theme="1"/>
      <name val="Angsana New"/>
      <family val="1"/>
    </font>
    <font>
      <b/>
      <sz val="20"/>
      <color theme="1"/>
      <name val="Angsana New"/>
      <family val="1"/>
    </font>
    <font>
      <sz val="20"/>
      <color theme="1"/>
      <name val="Calibri"/>
      <family val="2"/>
    </font>
    <font>
      <b/>
      <sz val="16"/>
      <color theme="1"/>
      <name val="Browallia New"/>
      <family val="2"/>
    </font>
    <font>
      <b/>
      <sz val="16"/>
      <color theme="1"/>
      <name val="Angsana New"/>
      <family val="1"/>
      <charset val="222"/>
    </font>
    <font>
      <sz val="16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Angsana New"/>
      <family val="1"/>
      <charset val="222"/>
    </font>
    <font>
      <sz val="16"/>
      <color theme="1"/>
      <name val="AngsanaUPC"/>
      <family val="1"/>
      <charset val="222"/>
    </font>
    <font>
      <sz val="16"/>
      <color rgb="FF000000"/>
      <name val="Angsana New"/>
      <family val="1"/>
      <charset val="222"/>
    </font>
    <font>
      <b/>
      <sz val="16"/>
      <color theme="1"/>
      <name val="AngsanaUPC"/>
      <family val="1"/>
      <charset val="222"/>
    </font>
    <font>
      <b/>
      <sz val="20"/>
      <color theme="1"/>
      <name val="Angsana New"/>
      <family val="1"/>
      <charset val="222"/>
    </font>
    <font>
      <sz val="20"/>
      <name val="Calibri"/>
      <family val="2"/>
    </font>
    <font>
      <sz val="9"/>
      <color theme="1"/>
      <name val="Angsana New"/>
      <family val="1"/>
      <charset val="222"/>
    </font>
    <font>
      <sz val="10"/>
      <color theme="1"/>
      <name val="Calibri"/>
      <family val="2"/>
    </font>
    <font>
      <sz val="10"/>
      <color theme="1"/>
      <name val="Angsana New"/>
      <family val="1"/>
      <charset val="222"/>
    </font>
    <font>
      <b/>
      <sz val="10"/>
      <color theme="1"/>
      <name val="Browallia New"/>
      <family val="2"/>
      <charset val="22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ngsana New"/>
      <family val="1"/>
      <charset val="222"/>
    </font>
    <font>
      <sz val="10"/>
      <color theme="1"/>
      <name val="Browallia New"/>
      <family val="2"/>
      <charset val="222"/>
    </font>
    <font>
      <b/>
      <sz val="10"/>
      <color rgb="FF000000"/>
      <name val="Browallia New"/>
      <family val="2"/>
      <charset val="22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Browallia New"/>
      <family val="2"/>
      <charset val="22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AngsanaUPC"/>
      <family val="1"/>
      <charset val="222"/>
    </font>
    <font>
      <sz val="10"/>
      <color theme="1"/>
      <name val="Browallia New"/>
      <family val="2"/>
    </font>
    <font>
      <b/>
      <sz val="10"/>
      <color theme="1"/>
      <name val="Browallia New"/>
      <family val="2"/>
    </font>
    <font>
      <b/>
      <sz val="10"/>
      <color rgb="FF000000"/>
      <name val="Browallia New"/>
      <family val="2"/>
    </font>
    <font>
      <sz val="21"/>
      <color rgb="FF1F1F1F"/>
      <name val="Inherit"/>
    </font>
    <font>
      <sz val="16"/>
      <color theme="1"/>
      <name val="Angsana New"/>
      <family val="1"/>
    </font>
    <font>
      <sz val="8"/>
      <name val="Calibri"/>
      <family val="2"/>
      <scheme val="minor"/>
    </font>
    <font>
      <sz val="10"/>
      <name val="Arial"/>
      <family val="2"/>
    </font>
    <font>
      <b/>
      <sz val="14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44" fillId="0" borderId="0"/>
  </cellStyleXfs>
  <cellXfs count="197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/>
    <xf numFmtId="0" fontId="10" fillId="0" borderId="0" xfId="0" applyFont="1"/>
    <xf numFmtId="14" fontId="12" fillId="0" borderId="1" xfId="0" applyNumberFormat="1" applyFont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14" fontId="12" fillId="0" borderId="6" xfId="0" applyNumberFormat="1" applyFont="1" applyBorder="1" applyAlignment="1">
      <alignment horizontal="left" vertical="center"/>
    </xf>
    <xf numFmtId="0" fontId="16" fillId="0" borderId="1" xfId="0" applyFont="1" applyBorder="1"/>
    <xf numFmtId="0" fontId="16" fillId="0" borderId="2" xfId="0" applyFont="1" applyBorder="1"/>
    <xf numFmtId="0" fontId="12" fillId="0" borderId="2" xfId="0" applyFont="1" applyBorder="1"/>
    <xf numFmtId="0" fontId="16" fillId="0" borderId="3" xfId="0" applyFont="1" applyBorder="1"/>
    <xf numFmtId="0" fontId="17" fillId="0" borderId="4" xfId="0" applyFont="1" applyBorder="1"/>
    <xf numFmtId="0" fontId="17" fillId="0" borderId="0" xfId="0" applyFont="1"/>
    <xf numFmtId="0" fontId="17" fillId="0" borderId="5" xfId="0" applyFont="1" applyBorder="1"/>
    <xf numFmtId="0" fontId="17" fillId="0" borderId="5" xfId="0" applyFont="1" applyBorder="1" applyAlignment="1">
      <alignment horizontal="right"/>
    </xf>
    <xf numFmtId="0" fontId="12" fillId="0" borderId="2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188" fontId="16" fillId="0" borderId="20" xfId="0" applyNumberFormat="1" applyFont="1" applyBorder="1" applyAlignment="1">
      <alignment horizontal="center" vertical="center"/>
    </xf>
    <xf numFmtId="187" fontId="16" fillId="0" borderId="20" xfId="0" applyNumberFormat="1" applyFont="1" applyBorder="1" applyAlignment="1">
      <alignment horizontal="center" vertical="center"/>
    </xf>
    <xf numFmtId="0" fontId="14" fillId="0" borderId="4" xfId="0" applyFont="1" applyBorder="1"/>
    <xf numFmtId="0" fontId="18" fillId="0" borderId="20" xfId="0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188" fontId="16" fillId="0" borderId="20" xfId="0" applyNumberFormat="1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49" fontId="16" fillId="0" borderId="20" xfId="0" applyNumberFormat="1" applyFont="1" applyBorder="1" applyAlignment="1">
      <alignment horizontal="center" vertical="center" shrinkToFit="1"/>
    </xf>
    <xf numFmtId="187" fontId="16" fillId="0" borderId="20" xfId="0" applyNumberFormat="1" applyFont="1" applyBorder="1" applyAlignment="1">
      <alignment horizontal="center"/>
    </xf>
    <xf numFmtId="14" fontId="16" fillId="0" borderId="20" xfId="0" applyNumberFormat="1" applyFont="1" applyBorder="1" applyAlignment="1">
      <alignment horizontal="center"/>
    </xf>
    <xf numFmtId="189" fontId="12" fillId="0" borderId="22" xfId="0" applyNumberFormat="1" applyFont="1" applyBorder="1" applyAlignment="1">
      <alignment vertical="center"/>
    </xf>
    <xf numFmtId="0" fontId="19" fillId="0" borderId="20" xfId="0" applyFont="1" applyBorder="1"/>
    <xf numFmtId="0" fontId="19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89" fontId="12" fillId="0" borderId="0" xfId="0" applyNumberFormat="1" applyFont="1" applyAlignment="1">
      <alignment vertical="center"/>
    </xf>
    <xf numFmtId="0" fontId="19" fillId="0" borderId="5" xfId="0" applyFont="1" applyBorder="1"/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 applyAlignment="1">
      <alignment horizontal="left"/>
    </xf>
    <xf numFmtId="0" fontId="14" fillId="0" borderId="5" xfId="0" applyFont="1" applyBorder="1"/>
    <xf numFmtId="187" fontId="16" fillId="0" borderId="20" xfId="0" applyNumberFormat="1" applyFont="1" applyBorder="1"/>
    <xf numFmtId="49" fontId="16" fillId="0" borderId="20" xfId="0" applyNumberFormat="1" applyFont="1" applyBorder="1" applyAlignment="1">
      <alignment horizontal="center" vertical="center"/>
    </xf>
    <xf numFmtId="0" fontId="22" fillId="0" borderId="18" xfId="0" applyFont="1" applyBorder="1"/>
    <xf numFmtId="0" fontId="22" fillId="0" borderId="1" xfId="0" applyFont="1" applyBorder="1"/>
    <xf numFmtId="0" fontId="23" fillId="0" borderId="0" xfId="0" applyFont="1"/>
    <xf numFmtId="0" fontId="24" fillId="2" borderId="10" xfId="0" applyFont="1" applyFill="1" applyBorder="1"/>
    <xf numFmtId="0" fontId="24" fillId="2" borderId="11" xfId="0" applyFont="1" applyFill="1" applyBorder="1" applyAlignment="1">
      <alignment horizontal="center"/>
    </xf>
    <xf numFmtId="0" fontId="27" fillId="0" borderId="0" xfId="0" applyFont="1"/>
    <xf numFmtId="0" fontId="24" fillId="2" borderId="13" xfId="0" applyFont="1" applyFill="1" applyBorder="1"/>
    <xf numFmtId="188" fontId="24" fillId="2" borderId="14" xfId="0" applyNumberFormat="1" applyFont="1" applyFill="1" applyBorder="1" applyAlignment="1">
      <alignment horizontal="center"/>
    </xf>
    <xf numFmtId="0" fontId="24" fillId="2" borderId="16" xfId="0" applyFont="1" applyFill="1" applyBorder="1"/>
    <xf numFmtId="0" fontId="28" fillId="2" borderId="17" xfId="0" applyFont="1" applyFill="1" applyBorder="1" applyAlignment="1">
      <alignment horizontal="center"/>
    </xf>
    <xf numFmtId="0" fontId="24" fillId="0" borderId="2" xfId="0" applyFont="1" applyBorder="1" applyAlignment="1">
      <alignment vertical="top"/>
    </xf>
    <xf numFmtId="0" fontId="24" fillId="0" borderId="3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top"/>
    </xf>
    <xf numFmtId="0" fontId="24" fillId="0" borderId="5" xfId="0" applyFont="1" applyBorder="1"/>
    <xf numFmtId="0" fontId="24" fillId="0" borderId="1" xfId="0" applyFont="1" applyBorder="1" applyAlignment="1">
      <alignment vertical="center" shrinkToFit="1"/>
    </xf>
    <xf numFmtId="0" fontId="24" fillId="0" borderId="9" xfId="0" applyFont="1" applyBorder="1" applyAlignment="1">
      <alignment horizontal="center" vertical="center" shrinkToFit="1"/>
    </xf>
    <xf numFmtId="0" fontId="24" fillId="0" borderId="7" xfId="0" applyFont="1" applyBorder="1"/>
    <xf numFmtId="0" fontId="24" fillId="0" borderId="8" xfId="0" applyFont="1" applyBorder="1"/>
    <xf numFmtId="0" fontId="24" fillId="0" borderId="6" xfId="0" applyFont="1" applyBorder="1" applyAlignment="1">
      <alignment horizontal="center" vertical="center"/>
    </xf>
    <xf numFmtId="188" fontId="28" fillId="0" borderId="15" xfId="0" applyNumberFormat="1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89" fontId="24" fillId="0" borderId="3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6" xfId="0" applyFont="1" applyBorder="1"/>
    <xf numFmtId="0" fontId="24" fillId="0" borderId="8" xfId="0" applyFont="1" applyBorder="1" applyAlignment="1">
      <alignment horizontal="center"/>
    </xf>
    <xf numFmtId="189" fontId="24" fillId="0" borderId="8" xfId="0" applyNumberFormat="1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5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/>
    </xf>
    <xf numFmtId="14" fontId="25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189" fontId="29" fillId="0" borderId="5" xfId="0" applyNumberFormat="1" applyFont="1" applyBorder="1" applyAlignment="1">
      <alignment vertical="top"/>
    </xf>
    <xf numFmtId="0" fontId="29" fillId="0" borderId="12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12" xfId="0" applyFont="1" applyBorder="1" applyAlignment="1">
      <alignment horizontal="center"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5" xfId="0" applyFont="1" applyBorder="1" applyAlignment="1">
      <alignment horizontal="center"/>
    </xf>
    <xf numFmtId="189" fontId="31" fillId="0" borderId="5" xfId="0" applyNumberFormat="1" applyFont="1" applyBorder="1"/>
    <xf numFmtId="188" fontId="32" fillId="0" borderId="0" xfId="0" applyNumberFormat="1" applyFont="1" applyAlignment="1">
      <alignment horizontal="left"/>
    </xf>
    <xf numFmtId="0" fontId="32" fillId="0" borderId="0" xfId="0" applyFont="1"/>
    <xf numFmtId="0" fontId="33" fillId="0" borderId="0" xfId="0" applyFont="1" applyAlignment="1">
      <alignment horizontal="left"/>
    </xf>
    <xf numFmtId="0" fontId="31" fillId="0" borderId="12" xfId="0" applyFont="1" applyBorder="1" applyAlignment="1">
      <alignment horizontal="center"/>
    </xf>
    <xf numFmtId="0" fontId="31" fillId="0" borderId="5" xfId="0" applyFont="1" applyBorder="1"/>
    <xf numFmtId="0" fontId="31" fillId="0" borderId="15" xfId="0" applyFont="1" applyBorder="1"/>
    <xf numFmtId="0" fontId="31" fillId="0" borderId="6" xfId="0" applyFont="1" applyBorder="1"/>
    <xf numFmtId="0" fontId="31" fillId="0" borderId="7" xfId="0" applyFont="1" applyBorder="1"/>
    <xf numFmtId="0" fontId="31" fillId="0" borderId="8" xfId="0" applyFont="1" applyBorder="1"/>
    <xf numFmtId="189" fontId="31" fillId="0" borderId="8" xfId="0" applyNumberFormat="1" applyFont="1" applyBorder="1"/>
    <xf numFmtId="0" fontId="24" fillId="0" borderId="18" xfId="0" applyFont="1" applyBorder="1" applyAlignment="1">
      <alignment horizontal="center"/>
    </xf>
    <xf numFmtId="0" fontId="24" fillId="0" borderId="19" xfId="0" applyFont="1" applyBorder="1"/>
    <xf numFmtId="189" fontId="24" fillId="0" borderId="19" xfId="0" applyNumberFormat="1" applyFont="1" applyBorder="1"/>
    <xf numFmtId="0" fontId="24" fillId="0" borderId="4" xfId="0" applyFont="1" applyBorder="1"/>
    <xf numFmtId="0" fontId="24" fillId="0" borderId="3" xfId="0" applyFont="1" applyBorder="1"/>
    <xf numFmtId="189" fontId="24" fillId="0" borderId="5" xfId="0" applyNumberFormat="1" applyFont="1" applyBorder="1" applyAlignment="1">
      <alignment horizontal="right"/>
    </xf>
    <xf numFmtId="0" fontId="31" fillId="0" borderId="4" xfId="0" applyFont="1" applyBorder="1"/>
    <xf numFmtId="0" fontId="24" fillId="0" borderId="2" xfId="0" applyFont="1" applyBorder="1"/>
    <xf numFmtId="0" fontId="23" fillId="0" borderId="0" xfId="0" applyFont="1" applyAlignment="1">
      <alignment vertical="top" wrapText="1"/>
    </xf>
    <xf numFmtId="0" fontId="37" fillId="0" borderId="0" xfId="0" applyFont="1"/>
    <xf numFmtId="0" fontId="38" fillId="0" borderId="12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38" fillId="0" borderId="5" xfId="0" applyFont="1" applyBorder="1" applyAlignment="1">
      <alignment horizontal="center"/>
    </xf>
    <xf numFmtId="189" fontId="38" fillId="0" borderId="5" xfId="0" applyNumberFormat="1" applyFont="1" applyBorder="1"/>
    <xf numFmtId="0" fontId="41" fillId="0" borderId="23" xfId="0" applyFont="1" applyBorder="1" applyAlignment="1">
      <alignment horizontal="left" vertical="center"/>
    </xf>
    <xf numFmtId="0" fontId="42" fillId="0" borderId="20" xfId="0" applyFont="1" applyBorder="1" applyAlignment="1">
      <alignment horizontal="center" vertical="center"/>
    </xf>
    <xf numFmtId="17" fontId="16" fillId="0" borderId="20" xfId="0" applyNumberFormat="1" applyFont="1" applyBorder="1" applyAlignment="1">
      <alignment horizontal="center" vertical="center"/>
    </xf>
    <xf numFmtId="187" fontId="16" fillId="0" borderId="20" xfId="0" quotePrefix="1" applyNumberFormat="1" applyFont="1" applyBorder="1" applyAlignment="1">
      <alignment horizontal="center" vertical="center"/>
    </xf>
    <xf numFmtId="0" fontId="45" fillId="0" borderId="24" xfId="1" applyFont="1" applyBorder="1"/>
    <xf numFmtId="0" fontId="24" fillId="0" borderId="1" xfId="0" applyFont="1" applyBorder="1" applyAlignment="1">
      <alignment horizontal="center"/>
    </xf>
    <xf numFmtId="0" fontId="26" fillId="0" borderId="2" xfId="0" applyFont="1" applyBorder="1"/>
    <xf numFmtId="0" fontId="24" fillId="0" borderId="0" xfId="0" applyFont="1" applyAlignment="1">
      <alignment horizontal="left" vertical="top" wrapText="1"/>
    </xf>
    <xf numFmtId="0" fontId="27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24" fillId="0" borderId="9" xfId="0" applyFont="1" applyBorder="1" applyAlignment="1">
      <alignment horizontal="center" vertical="center" wrapText="1"/>
    </xf>
    <xf numFmtId="0" fontId="26" fillId="0" borderId="12" xfId="0" applyFont="1" applyBorder="1"/>
    <xf numFmtId="0" fontId="26" fillId="0" borderId="15" xfId="0" applyFont="1" applyBorder="1"/>
    <xf numFmtId="0" fontId="34" fillId="0" borderId="2" xfId="0" applyFont="1" applyBorder="1" applyAlignment="1">
      <alignment horizontal="center" vertical="center" wrapText="1"/>
    </xf>
    <xf numFmtId="0" fontId="35" fillId="0" borderId="2" xfId="0" applyFont="1" applyBorder="1"/>
    <xf numFmtId="0" fontId="35" fillId="0" borderId="3" xfId="0" applyFont="1" applyBorder="1"/>
    <xf numFmtId="0" fontId="36" fillId="0" borderId="0" xfId="0" applyFont="1"/>
    <xf numFmtId="0" fontId="35" fillId="0" borderId="5" xfId="0" applyFont="1" applyBorder="1"/>
    <xf numFmtId="0" fontId="35" fillId="0" borderId="7" xfId="0" applyFont="1" applyBorder="1"/>
    <xf numFmtId="0" fontId="35" fillId="0" borderId="8" xfId="0" applyFont="1" applyBorder="1"/>
    <xf numFmtId="0" fontId="28" fillId="0" borderId="7" xfId="0" applyFont="1" applyBorder="1" applyAlignment="1">
      <alignment horizontal="left"/>
    </xf>
    <xf numFmtId="0" fontId="26" fillId="0" borderId="7" xfId="0" applyFont="1" applyBorder="1"/>
    <xf numFmtId="0" fontId="26" fillId="0" borderId="8" xfId="0" applyFont="1" applyBorder="1"/>
    <xf numFmtId="0" fontId="24" fillId="0" borderId="0" xfId="0" applyFont="1" applyAlignment="1">
      <alignment horizontal="center"/>
    </xf>
    <xf numFmtId="0" fontId="26" fillId="0" borderId="5" xfId="0" applyFont="1" applyBorder="1"/>
    <xf numFmtId="0" fontId="5" fillId="0" borderId="1" xfId="0" applyFont="1" applyBorder="1" applyAlignment="1">
      <alignment horizontal="center"/>
    </xf>
    <xf numFmtId="0" fontId="3" fillId="0" borderId="3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0" fillId="0" borderId="2" xfId="0" applyFont="1" applyBorder="1" applyAlignment="1">
      <alignment horizontal="left" vertical="center"/>
    </xf>
    <xf numFmtId="0" fontId="21" fillId="0" borderId="2" xfId="0" applyFont="1" applyBorder="1"/>
    <xf numFmtId="0" fontId="21" fillId="0" borderId="7" xfId="0" applyFont="1" applyBorder="1"/>
    <xf numFmtId="188" fontId="12" fillId="0" borderId="3" xfId="0" applyNumberFormat="1" applyFont="1" applyBorder="1" applyAlignment="1">
      <alignment horizontal="center" vertical="center"/>
    </xf>
    <xf numFmtId="0" fontId="13" fillId="0" borderId="8" xfId="0" applyFont="1" applyBorder="1"/>
    <xf numFmtId="0" fontId="20" fillId="0" borderId="1" xfId="0" applyFont="1" applyBorder="1" applyAlignment="1">
      <alignment horizontal="right" vertical="center"/>
    </xf>
    <xf numFmtId="0" fontId="21" fillId="0" borderId="6" xfId="0" applyFont="1" applyBorder="1"/>
    <xf numFmtId="0" fontId="12" fillId="0" borderId="4" xfId="0" applyFont="1" applyBorder="1" applyAlignment="1">
      <alignment horizontal="center"/>
    </xf>
    <xf numFmtId="0" fontId="15" fillId="0" borderId="0" xfId="0" applyFont="1"/>
    <xf numFmtId="0" fontId="13" fillId="0" borderId="5" xfId="0" applyFont="1" applyBorder="1"/>
    <xf numFmtId="0" fontId="12" fillId="0" borderId="18" xfId="0" applyFont="1" applyBorder="1" applyAlignment="1">
      <alignment horizontal="center"/>
    </xf>
    <xf numFmtId="0" fontId="13" fillId="0" borderId="19" xfId="0" applyFont="1" applyBorder="1"/>
    <xf numFmtId="0" fontId="12" fillId="0" borderId="9" xfId="0" applyFont="1" applyBorder="1" applyAlignment="1">
      <alignment horizontal="center" vertical="center"/>
    </xf>
    <xf numFmtId="0" fontId="13" fillId="0" borderId="15" xfId="0" applyFont="1" applyBorder="1"/>
    <xf numFmtId="0" fontId="12" fillId="0" borderId="1" xfId="0" applyFont="1" applyBorder="1" applyAlignment="1">
      <alignment horizontal="center"/>
    </xf>
    <xf numFmtId="0" fontId="13" fillId="0" borderId="3" xfId="0" applyFont="1" applyBorder="1"/>
    <xf numFmtId="0" fontId="37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3" fillId="0" borderId="7" xfId="0" applyFont="1" applyBorder="1"/>
    <xf numFmtId="0" fontId="16" fillId="0" borderId="18" xfId="0" applyFont="1" applyBorder="1" applyAlignment="1">
      <alignment horizontal="center" wrapText="1"/>
    </xf>
    <xf numFmtId="0" fontId="16" fillId="0" borderId="18" xfId="0" applyFont="1" applyBorder="1"/>
    <xf numFmtId="0" fontId="19" fillId="0" borderId="18" xfId="0" applyFont="1" applyBorder="1" applyAlignment="1">
      <alignment horizontal="center" vertical="center" wrapText="1"/>
    </xf>
    <xf numFmtId="0" fontId="13" fillId="0" borderId="21" xfId="0" applyFont="1" applyBorder="1"/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9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0" fontId="19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/>
    </xf>
    <xf numFmtId="0" fontId="13" fillId="0" borderId="12" xfId="0" applyFont="1" applyBorder="1"/>
  </cellXfs>
  <cellStyles count="2">
    <cellStyle name="Normal" xfId="0" builtinId="0"/>
    <cellStyle name="Normal 2" xfId="1" xr:uid="{10CC1CAC-D236-4009-BEA1-EE5C7587D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0</xdr:row>
      <xdr:rowOff>133350</xdr:rowOff>
    </xdr:from>
    <xdr:ext cx="6762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9"/>
  <sheetViews>
    <sheetView topLeftCell="A4" zoomScale="150" zoomScaleNormal="150" workbookViewId="0">
      <selection activeCell="D18" sqref="D18"/>
    </sheetView>
  </sheetViews>
  <sheetFormatPr defaultColWidth="14.42578125" defaultRowHeight="15" customHeight="1"/>
  <cols>
    <col min="1" max="25" width="8.7109375" customWidth="1"/>
  </cols>
  <sheetData>
    <row r="1" spans="1:25" ht="14.2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2"/>
      <c r="K1" s="1"/>
    </row>
    <row r="2" spans="1:25">
      <c r="A2" s="135"/>
      <c r="B2" s="136"/>
      <c r="C2" s="136"/>
      <c r="D2" s="136"/>
      <c r="E2" s="136"/>
      <c r="F2" s="136"/>
      <c r="G2" s="136"/>
      <c r="H2" s="136"/>
      <c r="I2" s="136"/>
      <c r="J2" s="3"/>
      <c r="K2" s="1"/>
    </row>
    <row r="3" spans="1:25">
      <c r="A3" s="135"/>
      <c r="B3" s="136"/>
      <c r="C3" s="136"/>
      <c r="D3" s="136"/>
      <c r="E3" s="136"/>
      <c r="F3" s="136"/>
      <c r="G3" s="136"/>
      <c r="H3" s="136"/>
      <c r="I3" s="136"/>
      <c r="J3" s="3"/>
      <c r="K3" s="1"/>
    </row>
    <row r="4" spans="1:25" ht="18" customHeight="1">
      <c r="A4" s="135"/>
      <c r="B4" s="136"/>
      <c r="C4" s="136"/>
      <c r="D4" s="136"/>
      <c r="E4" s="136"/>
      <c r="F4" s="136"/>
      <c r="G4" s="136"/>
      <c r="H4" s="136"/>
      <c r="I4" s="136"/>
      <c r="J4" s="3"/>
      <c r="K4" s="1"/>
    </row>
    <row r="5" spans="1:25">
      <c r="A5" s="135"/>
      <c r="B5" s="136"/>
      <c r="C5" s="136"/>
      <c r="D5" s="136"/>
      <c r="E5" s="136"/>
      <c r="F5" s="136"/>
      <c r="G5" s="136"/>
      <c r="H5" s="136"/>
      <c r="I5" s="136"/>
      <c r="J5" s="4"/>
      <c r="K5" s="5"/>
    </row>
    <row r="6" spans="1:25" ht="21">
      <c r="A6" s="137" t="s">
        <v>1</v>
      </c>
      <c r="B6" s="136"/>
      <c r="C6" s="136"/>
      <c r="D6" s="136"/>
      <c r="E6" s="136"/>
      <c r="F6" s="136"/>
      <c r="G6" s="136"/>
      <c r="H6" s="136"/>
      <c r="I6" s="136"/>
      <c r="J6" s="138"/>
    </row>
    <row r="7" spans="1:25">
      <c r="A7" s="6"/>
      <c r="B7" s="7"/>
      <c r="C7" s="7"/>
      <c r="D7" s="7"/>
      <c r="E7" s="7"/>
      <c r="F7" s="7"/>
      <c r="G7" s="7"/>
      <c r="H7" s="7"/>
      <c r="I7" s="7"/>
      <c r="J7" s="8"/>
    </row>
    <row r="8" spans="1:25" s="56" customFormat="1" ht="15" customHeight="1">
      <c r="A8" s="139" t="s">
        <v>2</v>
      </c>
      <c r="B8" s="142" t="str">
        <f>ค่าขนส่ง!C11</f>
        <v>บริษัท นิปปอน เอ็กซ์เพรส โลจิสติกส์ (ประเทศไทย) จำกัด</v>
      </c>
      <c r="C8" s="143"/>
      <c r="D8" s="143"/>
      <c r="E8" s="143"/>
      <c r="F8" s="143"/>
      <c r="G8" s="143"/>
      <c r="H8" s="144"/>
      <c r="I8" s="54"/>
      <c r="J8" s="55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 s="56" customFormat="1" ht="15" customHeight="1">
      <c r="A9" s="140"/>
      <c r="B9" s="145"/>
      <c r="C9" s="145"/>
      <c r="D9" s="145"/>
      <c r="E9" s="145"/>
      <c r="F9" s="145"/>
      <c r="G9" s="145"/>
      <c r="H9" s="146"/>
      <c r="I9" s="57" t="s">
        <v>3</v>
      </c>
      <c r="J9" s="58">
        <f>ค่าขนส่ง!K8</f>
        <v>46170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s="56" customFormat="1" ht="15" customHeight="1">
      <c r="A10" s="141"/>
      <c r="B10" s="147"/>
      <c r="C10" s="147"/>
      <c r="D10" s="147"/>
      <c r="E10" s="147"/>
      <c r="F10" s="147"/>
      <c r="G10" s="147"/>
      <c r="H10" s="148"/>
      <c r="I10" s="59" t="s">
        <v>4</v>
      </c>
      <c r="J10" s="60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 s="56" customFormat="1" ht="15" customHeight="1">
      <c r="A11" s="139" t="s">
        <v>5</v>
      </c>
      <c r="B11" s="61" t="str">
        <f>ค่าขนส่ง!C12</f>
        <v>700/1057 ม.9 ต.มาบโป่ง  อ.พานทอง จ.ชลบุรี  20160</v>
      </c>
      <c r="C11" s="61"/>
      <c r="D11" s="61"/>
      <c r="E11" s="61"/>
      <c r="F11" s="61"/>
      <c r="G11" s="61"/>
      <c r="H11" s="62"/>
      <c r="I11" s="63"/>
      <c r="J11" s="124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s="56" customFormat="1" ht="15" customHeight="1">
      <c r="A12" s="140"/>
      <c r="B12" s="64" t="str">
        <f>ค่าขนส่ง!C13</f>
        <v xml:space="preserve">เลขประจำตัวผู้เสียภาษี 0105534021577  </v>
      </c>
      <c r="C12" s="64"/>
      <c r="D12" s="64"/>
      <c r="E12" s="64"/>
      <c r="F12" s="64"/>
      <c r="G12" s="64"/>
      <c r="H12" s="65"/>
      <c r="I12" s="66" t="s">
        <v>6</v>
      </c>
      <c r="J12" s="67" t="s">
        <v>7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s="56" customFormat="1" ht="15" customHeight="1">
      <c r="A13" s="141"/>
      <c r="B13" s="68"/>
      <c r="C13" s="68"/>
      <c r="D13" s="68"/>
      <c r="E13" s="68"/>
      <c r="F13" s="68"/>
      <c r="G13" s="68"/>
      <c r="H13" s="69"/>
      <c r="I13" s="70"/>
      <c r="J13" s="71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s="56" customFormat="1" ht="15" customHeight="1">
      <c r="A14" s="72" t="s">
        <v>8</v>
      </c>
      <c r="B14" s="73"/>
      <c r="C14" s="74" t="s">
        <v>9</v>
      </c>
      <c r="D14" s="75"/>
      <c r="E14" s="75"/>
      <c r="F14" s="75"/>
      <c r="G14" s="76"/>
      <c r="H14" s="76" t="s">
        <v>10</v>
      </c>
      <c r="I14" s="77" t="s">
        <v>11</v>
      </c>
      <c r="J14" s="72" t="s">
        <v>12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s="56" customFormat="1" ht="15" customHeight="1">
      <c r="A15" s="78" t="s">
        <v>13</v>
      </c>
      <c r="B15" s="79"/>
      <c r="C15" s="68" t="s">
        <v>14</v>
      </c>
      <c r="D15" s="68"/>
      <c r="E15" s="68"/>
      <c r="F15" s="68"/>
      <c r="G15" s="69"/>
      <c r="H15" s="80" t="s">
        <v>15</v>
      </c>
      <c r="I15" s="81" t="s">
        <v>16</v>
      </c>
      <c r="J15" s="78" t="s">
        <v>17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 s="56" customFormat="1" ht="15" customHeight="1">
      <c r="A16" s="82">
        <v>1</v>
      </c>
      <c r="B16" s="83" t="str">
        <f>ค่าขนส่ง!$G$8&amp;"  "&amp;ค่าขนส่ง!$G16&amp;"  "&amp;"ค่าขนส่ง"</f>
        <v>NTIV2605-001  KAO  ค่าขนส่ง</v>
      </c>
      <c r="C16" s="83"/>
      <c r="D16" s="84"/>
      <c r="E16" s="85"/>
      <c r="F16" s="86"/>
      <c r="G16" s="87"/>
      <c r="H16" s="88">
        <v>1</v>
      </c>
      <c r="I16" s="88">
        <f>ค่าขนส่ง!J31</f>
        <v>4848</v>
      </c>
      <c r="J16" s="88">
        <f>I16</f>
        <v>4848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 s="56" customFormat="1">
      <c r="A17" s="89">
        <v>2</v>
      </c>
      <c r="B17" s="90" t="str">
        <f>ค่าทดรองจ่าย!$G$8&amp;" "&amp;ค่าทดรองจ่าย!$G16&amp;" "&amp;"ค่าใช้จ่าย"</f>
        <v>NTIV2605-001AD KAO ค่าใช้จ่าย</v>
      </c>
      <c r="C17" s="90"/>
      <c r="D17" s="91"/>
      <c r="E17" s="85"/>
      <c r="F17" s="86"/>
      <c r="G17" s="87"/>
      <c r="H17" s="88">
        <v>1</v>
      </c>
      <c r="I17" s="88">
        <f>ค่าทดรองจ่าย!J32</f>
        <v>1326</v>
      </c>
      <c r="J17" s="88">
        <f t="shared" ref="J17" si="0">I17</f>
        <v>1326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s="56" customFormat="1" ht="15" customHeight="1">
      <c r="A18" s="117"/>
      <c r="B18" s="90"/>
      <c r="C18" s="118"/>
      <c r="D18" s="119" t="s">
        <v>59</v>
      </c>
      <c r="E18" s="120"/>
      <c r="F18" s="121"/>
      <c r="G18" s="122"/>
      <c r="H18" s="123"/>
      <c r="I18" s="123"/>
      <c r="J18" s="88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 s="56" customFormat="1" ht="15" customHeight="1">
      <c r="A19" s="92"/>
      <c r="B19" s="97"/>
      <c r="C19" s="98"/>
      <c r="D19" s="99"/>
      <c r="E19" s="93"/>
      <c r="F19" s="94"/>
      <c r="G19" s="95"/>
      <c r="H19" s="96"/>
      <c r="I19" s="96"/>
      <c r="J19" s="96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s="56" customFormat="1" ht="15" customHeight="1">
      <c r="A20" s="100"/>
      <c r="B20" s="97"/>
      <c r="C20" s="93"/>
      <c r="D20" s="97"/>
      <c r="E20" s="93"/>
      <c r="F20" s="93"/>
      <c r="G20" s="101"/>
      <c r="H20" s="96"/>
      <c r="I20" s="96"/>
      <c r="J20" s="96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5" s="56" customFormat="1" ht="15" customHeight="1">
      <c r="A21" s="100"/>
      <c r="B21" s="97"/>
      <c r="C21" s="93"/>
      <c r="D21" s="97"/>
      <c r="E21" s="93"/>
      <c r="F21" s="93"/>
      <c r="G21" s="101"/>
      <c r="H21" s="96"/>
      <c r="I21" s="96"/>
      <c r="J21" s="96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5" s="56" customFormat="1" ht="15" customHeight="1">
      <c r="A22" s="100"/>
      <c r="B22" s="97"/>
      <c r="C22" s="93"/>
      <c r="D22" s="97"/>
      <c r="E22" s="93"/>
      <c r="F22" s="93"/>
      <c r="G22" s="101"/>
      <c r="H22" s="96"/>
      <c r="I22" s="96"/>
      <c r="J22" s="96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5" s="56" customFormat="1" ht="15" customHeight="1">
      <c r="A23" s="100"/>
      <c r="B23" s="97"/>
      <c r="C23" s="93"/>
      <c r="D23" s="93"/>
      <c r="E23" s="93"/>
      <c r="F23" s="93"/>
      <c r="G23" s="101"/>
      <c r="H23" s="96"/>
      <c r="I23" s="96"/>
      <c r="J23" s="96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 s="56" customFormat="1" ht="15" customHeight="1">
      <c r="A24" s="92"/>
      <c r="B24" s="97"/>
      <c r="C24" s="98"/>
      <c r="D24" s="99"/>
      <c r="E24" s="93"/>
      <c r="F24" s="94"/>
      <c r="G24" s="95"/>
      <c r="H24" s="96"/>
      <c r="I24" s="96"/>
      <c r="J24" s="96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 s="56" customFormat="1" ht="15" customHeight="1">
      <c r="A25" s="100"/>
      <c r="B25" s="97"/>
      <c r="C25" s="93"/>
      <c r="D25" s="97"/>
      <c r="E25" s="93"/>
      <c r="F25" s="93"/>
      <c r="G25" s="101"/>
      <c r="H25" s="96"/>
      <c r="I25" s="96"/>
      <c r="J25" s="96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s="56" customFormat="1" ht="15" customHeight="1">
      <c r="A26" s="100"/>
      <c r="B26" s="97"/>
      <c r="C26" s="93"/>
      <c r="D26" s="97"/>
      <c r="E26" s="93"/>
      <c r="F26" s="93"/>
      <c r="G26" s="101"/>
      <c r="H26" s="96"/>
      <c r="I26" s="96"/>
      <c r="J26" s="96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s="56" customFormat="1" ht="15" customHeight="1">
      <c r="A27" s="100"/>
      <c r="B27" s="97"/>
      <c r="C27" s="93"/>
      <c r="D27" s="97"/>
      <c r="E27" s="93"/>
      <c r="F27" s="93"/>
      <c r="G27" s="101"/>
      <c r="H27" s="96"/>
      <c r="I27" s="96"/>
      <c r="J27" s="96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 s="56" customFormat="1" ht="15" customHeight="1">
      <c r="A28" s="100"/>
      <c r="B28" s="97"/>
      <c r="C28" s="93"/>
      <c r="D28" s="93"/>
      <c r="E28" s="93"/>
      <c r="F28" s="93"/>
      <c r="G28" s="101"/>
      <c r="H28" s="96"/>
      <c r="I28" s="96"/>
      <c r="J28" s="96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s="56" customFormat="1" ht="15" customHeight="1">
      <c r="A29" s="92"/>
      <c r="B29" s="97"/>
      <c r="C29" s="98"/>
      <c r="D29" s="99"/>
      <c r="E29" s="93"/>
      <c r="F29" s="94"/>
      <c r="G29" s="95"/>
      <c r="H29" s="96"/>
      <c r="I29" s="96"/>
      <c r="J29" s="96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s="56" customFormat="1" ht="15" customHeight="1">
      <c r="A30" s="100"/>
      <c r="B30" s="97"/>
      <c r="C30" s="93"/>
      <c r="D30" s="97"/>
      <c r="E30" s="93"/>
      <c r="F30" s="93"/>
      <c r="G30" s="101"/>
      <c r="H30" s="96"/>
      <c r="I30" s="96"/>
      <c r="J30" s="96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s="56" customFormat="1" ht="15" customHeight="1">
      <c r="A31" s="100"/>
      <c r="B31" s="97"/>
      <c r="C31" s="93"/>
      <c r="D31" s="97"/>
      <c r="E31" s="93"/>
      <c r="F31" s="93"/>
      <c r="G31" s="101"/>
      <c r="H31" s="96"/>
      <c r="I31" s="96"/>
      <c r="J31" s="96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s="56" customFormat="1" ht="15" customHeight="1">
      <c r="A32" s="100"/>
      <c r="B32" s="97"/>
      <c r="C32" s="93"/>
      <c r="D32" s="97"/>
      <c r="E32" s="93"/>
      <c r="F32" s="93"/>
      <c r="G32" s="101"/>
      <c r="H32" s="96"/>
      <c r="I32" s="96"/>
      <c r="J32" s="96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s="56" customFormat="1" ht="15" customHeight="1">
      <c r="A33" s="100"/>
      <c r="B33" s="97"/>
      <c r="C33" s="93"/>
      <c r="D33" s="93"/>
      <c r="E33" s="93"/>
      <c r="F33" s="93"/>
      <c r="G33" s="101"/>
      <c r="H33" s="96"/>
      <c r="I33" s="96"/>
      <c r="J33" s="96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s="56" customFormat="1" ht="15" customHeight="1">
      <c r="A34" s="100"/>
      <c r="B34" s="97"/>
      <c r="C34" s="93"/>
      <c r="D34" s="93"/>
      <c r="E34" s="93"/>
      <c r="F34" s="93"/>
      <c r="G34" s="101"/>
      <c r="H34" s="96"/>
      <c r="I34" s="96"/>
      <c r="J34" s="96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 s="56" customFormat="1" ht="15" customHeight="1">
      <c r="A35" s="92"/>
      <c r="B35" s="97"/>
      <c r="C35" s="98"/>
      <c r="D35" s="93"/>
      <c r="E35" s="93"/>
      <c r="F35" s="93"/>
      <c r="G35" s="101"/>
      <c r="H35" s="96"/>
      <c r="I35" s="96"/>
      <c r="J35" s="96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s="56" customFormat="1" ht="15" customHeight="1">
      <c r="A36" s="102"/>
      <c r="B36" s="103"/>
      <c r="C36" s="104"/>
      <c r="D36" s="104"/>
      <c r="E36" s="104"/>
      <c r="F36" s="104"/>
      <c r="G36" s="105"/>
      <c r="H36" s="106"/>
      <c r="I36" s="106"/>
      <c r="J36" s="96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1:25" s="56" customFormat="1" ht="15" customHeight="1">
      <c r="A37" s="107" t="s">
        <v>18</v>
      </c>
      <c r="B37" s="68"/>
      <c r="C37" s="149" t="str">
        <f>BAHTTEXT(J39)</f>
        <v>หกพันหนึ่งร้อยเจ็ดสิบสี่บาทถ้วน</v>
      </c>
      <c r="D37" s="150"/>
      <c r="E37" s="150"/>
      <c r="F37" s="150"/>
      <c r="G37" s="151"/>
      <c r="H37" s="51" t="s">
        <v>19</v>
      </c>
      <c r="I37" s="108"/>
      <c r="J37" s="109">
        <f>SUM(J14:J36)</f>
        <v>6174</v>
      </c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1:25" s="56" customFormat="1" ht="15" customHeight="1">
      <c r="A38" s="110"/>
      <c r="B38" s="63"/>
      <c r="C38" s="63"/>
      <c r="D38" s="63"/>
      <c r="E38" s="63"/>
      <c r="F38" s="63"/>
      <c r="G38" s="63"/>
      <c r="H38" s="52" t="s">
        <v>20</v>
      </c>
      <c r="I38" s="111"/>
      <c r="J38" s="112">
        <v>0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1:25" s="56" customFormat="1" ht="15" customHeight="1">
      <c r="A39" s="110"/>
      <c r="B39" s="63"/>
      <c r="C39" s="63"/>
      <c r="D39" s="63"/>
      <c r="E39" s="63"/>
      <c r="F39" s="63"/>
      <c r="G39" s="63"/>
      <c r="H39" s="51" t="s">
        <v>21</v>
      </c>
      <c r="I39" s="108"/>
      <c r="J39" s="109">
        <f>SUM(J37:J38)</f>
        <v>6174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spans="1:25" s="56" customFormat="1" ht="15" customHeight="1">
      <c r="A40" s="113"/>
      <c r="B40" s="93"/>
      <c r="C40" s="93"/>
      <c r="D40" s="93"/>
      <c r="E40" s="93"/>
      <c r="F40" s="93"/>
      <c r="G40" s="93"/>
      <c r="H40" s="93"/>
      <c r="I40" s="93"/>
      <c r="J40" s="101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s="56" customFormat="1" ht="15" customHeight="1">
      <c r="A41" s="113"/>
      <c r="B41" s="93"/>
      <c r="C41" s="93"/>
      <c r="D41" s="93"/>
      <c r="E41" s="93"/>
      <c r="F41" s="93"/>
      <c r="G41" s="93"/>
      <c r="H41" s="93"/>
      <c r="I41" s="93"/>
      <c r="J41" s="101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s="56" customFormat="1" ht="15" customHeight="1">
      <c r="A42" s="103"/>
      <c r="B42" s="104"/>
      <c r="C42" s="104"/>
      <c r="D42" s="93"/>
      <c r="E42" s="104"/>
      <c r="F42" s="104"/>
      <c r="G42" s="104"/>
      <c r="H42" s="93"/>
      <c r="I42" s="104"/>
      <c r="J42" s="105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s="56" customFormat="1" ht="15" customHeight="1">
      <c r="A43" s="129" t="s">
        <v>22</v>
      </c>
      <c r="B43" s="130"/>
      <c r="C43" s="130"/>
      <c r="D43" s="63"/>
      <c r="E43" s="63"/>
      <c r="F43" s="114" t="s">
        <v>23</v>
      </c>
      <c r="G43" s="114"/>
      <c r="H43" s="63"/>
      <c r="I43" s="152" t="s">
        <v>24</v>
      </c>
      <c r="J43" s="1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s="56" customFormat="1" ht="15" customHeight="1">
      <c r="A44" s="113"/>
      <c r="B44" s="93"/>
      <c r="C44" s="93"/>
      <c r="D44" s="93"/>
      <c r="E44" s="93"/>
      <c r="F44" s="93"/>
      <c r="G44" s="93"/>
      <c r="H44" s="93"/>
      <c r="I44" s="93"/>
      <c r="J44" s="101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s="56" customFormat="1" ht="15" customHeight="1">
      <c r="A45" s="103"/>
      <c r="B45" s="104"/>
      <c r="C45" s="104"/>
      <c r="D45" s="104"/>
      <c r="E45" s="104"/>
      <c r="F45" s="104"/>
      <c r="G45" s="104"/>
      <c r="H45" s="104"/>
      <c r="I45" s="104"/>
      <c r="J45" s="105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s="56" customFormat="1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s="56" customFormat="1" ht="14.25" customHeight="1">
      <c r="A47" s="131" t="s">
        <v>25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15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s="56" customFormat="1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15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s="56" customFormat="1" ht="15.7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s="56" customFormat="1" ht="15.75" customHeight="1"/>
    <row r="51" spans="1:25" ht="15.75" customHeight="1"/>
    <row r="52" spans="1:25" ht="15.75" customHeight="1"/>
    <row r="53" spans="1:25" ht="15.75" customHeight="1"/>
    <row r="54" spans="1:25" ht="15.75" customHeight="1"/>
    <row r="55" spans="1:25" ht="15.75" customHeight="1"/>
    <row r="56" spans="1:25" ht="15.75" customHeight="1"/>
    <row r="57" spans="1:25" ht="15.75" customHeight="1"/>
    <row r="58" spans="1:25" ht="15.75" customHeight="1"/>
    <row r="59" spans="1:25" ht="15.75" customHeight="1"/>
    <row r="60" spans="1:25" ht="15.75" customHeight="1"/>
    <row r="61" spans="1:25" ht="15.75" customHeight="1"/>
    <row r="62" spans="1:25" ht="15.75" customHeight="1"/>
    <row r="63" spans="1:25" ht="15.75" customHeight="1"/>
    <row r="64" spans="1:2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43:C43"/>
    <mergeCell ref="A47:J49"/>
    <mergeCell ref="A1:I5"/>
    <mergeCell ref="A6:J6"/>
    <mergeCell ref="A8:A10"/>
    <mergeCell ref="B8:H10"/>
    <mergeCell ref="A11:A13"/>
    <mergeCell ref="C37:G37"/>
    <mergeCell ref="I43:J43"/>
  </mergeCells>
  <printOptions horizontalCentered="1"/>
  <pageMargins left="0.11811023622047245" right="0.23622047244094491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AC999"/>
  <sheetViews>
    <sheetView topLeftCell="A5" zoomScale="120" zoomScaleNormal="120" workbookViewId="0">
      <selection activeCell="G16" sqref="G16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3.140625" customWidth="1"/>
    <col min="4" max="4" width="17.42578125" customWidth="1"/>
    <col min="5" max="5" width="8.140625" customWidth="1"/>
    <col min="6" max="6" width="11.85546875" customWidth="1"/>
    <col min="7" max="7" width="16.42578125" customWidth="1"/>
    <col min="8" max="8" width="22" customWidth="1"/>
    <col min="9" max="9" width="12.42578125" customWidth="1"/>
    <col min="10" max="10" width="14" customWidth="1"/>
    <col min="11" max="11" width="13.42578125" customWidth="1"/>
    <col min="12" max="29" width="9" customWidth="1"/>
  </cols>
  <sheetData>
    <row r="1" spans="1:29" ht="24.75" customHeight="1">
      <c r="A1" s="154" t="s">
        <v>26</v>
      </c>
      <c r="B1" s="134"/>
      <c r="C1" s="134"/>
      <c r="D1" s="134"/>
      <c r="E1" s="134"/>
      <c r="F1" s="134"/>
      <c r="G1" s="134"/>
      <c r="H1" s="134"/>
      <c r="I1" s="134"/>
      <c r="J1" s="134"/>
      <c r="K1" s="155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24.75" customHeight="1">
      <c r="A2" s="156" t="s">
        <v>27</v>
      </c>
      <c r="B2" s="136"/>
      <c r="C2" s="136"/>
      <c r="D2" s="136"/>
      <c r="E2" s="136"/>
      <c r="F2" s="136"/>
      <c r="G2" s="136"/>
      <c r="H2" s="136"/>
      <c r="I2" s="136"/>
      <c r="J2" s="136"/>
      <c r="K2" s="13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9.5" customHeight="1">
      <c r="A3" s="157" t="s">
        <v>28</v>
      </c>
      <c r="B3" s="136"/>
      <c r="C3" s="136"/>
      <c r="D3" s="136"/>
      <c r="E3" s="136"/>
      <c r="F3" s="136"/>
      <c r="G3" s="136"/>
      <c r="H3" s="136"/>
      <c r="I3" s="136"/>
      <c r="J3" s="136"/>
      <c r="K3" s="13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9.5" customHeight="1">
      <c r="A4" s="158" t="s">
        <v>29</v>
      </c>
      <c r="B4" s="136"/>
      <c r="C4" s="136"/>
      <c r="D4" s="136"/>
      <c r="E4" s="136"/>
      <c r="F4" s="136"/>
      <c r="G4" s="136"/>
      <c r="H4" s="136"/>
      <c r="I4" s="136"/>
      <c r="J4" s="136"/>
      <c r="K4" s="13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9.5" customHeight="1">
      <c r="A5" s="159" t="s">
        <v>30</v>
      </c>
      <c r="B5" s="136"/>
      <c r="C5" s="136"/>
      <c r="D5" s="136"/>
      <c r="E5" s="136"/>
      <c r="F5" s="136"/>
      <c r="G5" s="136"/>
      <c r="H5" s="136"/>
      <c r="I5" s="136"/>
      <c r="J5" s="136"/>
      <c r="K5" s="13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4.75" customHeight="1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24.7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2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3" customFormat="1" ht="21" customHeight="1">
      <c r="A8" s="168" t="s">
        <v>31</v>
      </c>
      <c r="B8" s="164"/>
      <c r="C8" s="164"/>
      <c r="D8" s="164"/>
      <c r="E8" s="164"/>
      <c r="F8" s="164"/>
      <c r="G8" s="163" t="s">
        <v>64</v>
      </c>
      <c r="H8" s="164"/>
      <c r="I8" s="164"/>
      <c r="J8" s="11" t="s">
        <v>32</v>
      </c>
      <c r="K8" s="166">
        <v>46170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13" customFormat="1" ht="26.25" customHeight="1">
      <c r="A9" s="169"/>
      <c r="B9" s="165"/>
      <c r="C9" s="165"/>
      <c r="D9" s="165"/>
      <c r="E9" s="165"/>
      <c r="F9" s="165"/>
      <c r="G9" s="165"/>
      <c r="H9" s="165"/>
      <c r="I9" s="165"/>
      <c r="J9" s="14" t="s">
        <v>33</v>
      </c>
      <c r="K9" s="167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s="13" customFormat="1" ht="24.75" customHeight="1" thickBot="1">
      <c r="A10" s="170"/>
      <c r="B10" s="171"/>
      <c r="C10" s="171"/>
      <c r="D10" s="171"/>
      <c r="E10" s="171"/>
      <c r="F10" s="171"/>
      <c r="G10" s="171"/>
      <c r="H10" s="171"/>
      <c r="I10" s="171"/>
      <c r="J10" s="171"/>
      <c r="K10" s="17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13" customFormat="1" ht="22.5" customHeight="1">
      <c r="A11" s="15" t="s">
        <v>34</v>
      </c>
      <c r="B11" s="16"/>
      <c r="C11" s="128" t="s">
        <v>61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13" customFormat="1" ht="23.25" customHeight="1">
      <c r="A12" s="19" t="s">
        <v>35</v>
      </c>
      <c r="B12" s="20"/>
      <c r="C12" s="179" t="s">
        <v>63</v>
      </c>
      <c r="D12" s="179"/>
      <c r="E12" s="179"/>
      <c r="F12" s="179"/>
      <c r="G12" s="179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13" customFormat="1" ht="19.5" customHeight="1">
      <c r="A13" s="19" t="s">
        <v>36</v>
      </c>
      <c r="B13" s="20"/>
      <c r="C13" s="116" t="s">
        <v>62</v>
      </c>
      <c r="D13" s="20"/>
      <c r="E13" s="20"/>
      <c r="F13" s="20"/>
      <c r="G13" s="20"/>
      <c r="H13" s="20"/>
      <c r="I13" s="20"/>
      <c r="J13" s="20"/>
      <c r="K13" s="22" t="s">
        <v>69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3" customFormat="1" ht="21.75" customHeight="1">
      <c r="A14" s="23" t="s">
        <v>37</v>
      </c>
      <c r="B14" s="173" t="s">
        <v>38</v>
      </c>
      <c r="C14" s="174"/>
      <c r="D14" s="175" t="s">
        <v>39</v>
      </c>
      <c r="E14" s="175" t="s">
        <v>40</v>
      </c>
      <c r="F14" s="23" t="s">
        <v>41</v>
      </c>
      <c r="G14" s="175" t="s">
        <v>42</v>
      </c>
      <c r="H14" s="175" t="s">
        <v>43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13" customFormat="1" ht="21.75" customHeight="1">
      <c r="A15" s="24" t="s">
        <v>46</v>
      </c>
      <c r="B15" s="177" t="s">
        <v>47</v>
      </c>
      <c r="C15" s="178"/>
      <c r="D15" s="176"/>
      <c r="E15" s="176"/>
      <c r="F15" s="23" t="s">
        <v>48</v>
      </c>
      <c r="G15" s="176"/>
      <c r="H15" s="176"/>
      <c r="I15" s="24" t="s">
        <v>33</v>
      </c>
      <c r="J15" s="24" t="s">
        <v>49</v>
      </c>
      <c r="K15" s="24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13" customFormat="1" ht="21.75" customHeight="1">
      <c r="A16" s="25">
        <v>1</v>
      </c>
      <c r="B16" s="180" t="s">
        <v>60</v>
      </c>
      <c r="C16" s="174"/>
      <c r="D16" s="125" t="s">
        <v>68</v>
      </c>
      <c r="E16" s="25">
        <v>40</v>
      </c>
      <c r="F16" s="126" t="s">
        <v>67</v>
      </c>
      <c r="G16" s="25" t="s">
        <v>65</v>
      </c>
      <c r="H16" s="25" t="s">
        <v>66</v>
      </c>
      <c r="I16" s="26">
        <v>46154</v>
      </c>
      <c r="J16" s="27">
        <v>4848</v>
      </c>
      <c r="K16" s="25" t="s">
        <v>58</v>
      </c>
      <c r="L16" s="2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13" customFormat="1" ht="24" customHeight="1">
      <c r="A17" s="25"/>
      <c r="B17" s="180"/>
      <c r="C17" s="174"/>
      <c r="D17" s="125"/>
      <c r="E17" s="25"/>
      <c r="F17" s="126"/>
      <c r="G17" s="25"/>
      <c r="H17" s="25"/>
      <c r="I17" s="26"/>
      <c r="J17" s="27"/>
      <c r="K17" s="25"/>
      <c r="L17" s="2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13" customFormat="1" ht="24" customHeight="1">
      <c r="A18" s="25"/>
      <c r="B18" s="180"/>
      <c r="C18" s="174"/>
      <c r="D18" s="125"/>
      <c r="E18" s="25"/>
      <c r="F18" s="126"/>
      <c r="G18" s="25"/>
      <c r="H18" s="25"/>
      <c r="I18" s="26"/>
      <c r="J18" s="27"/>
      <c r="K18" s="2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s="13" customFormat="1" ht="24" customHeight="1">
      <c r="A19" s="25"/>
      <c r="B19" s="180"/>
      <c r="C19" s="174"/>
      <c r="D19" s="125"/>
      <c r="E19" s="25"/>
      <c r="F19" s="126"/>
      <c r="G19" s="25"/>
      <c r="H19" s="25"/>
      <c r="I19" s="26"/>
      <c r="J19" s="27"/>
      <c r="K19" s="2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s="13" customFormat="1" ht="24" customHeight="1">
      <c r="A20" s="25"/>
      <c r="B20" s="180"/>
      <c r="C20" s="174"/>
      <c r="D20" s="25"/>
      <c r="E20" s="25"/>
      <c r="F20" s="25"/>
      <c r="G20" s="25"/>
      <c r="H20" s="25"/>
      <c r="I20" s="26"/>
      <c r="J20" s="27"/>
      <c r="K20" s="2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s="13" customFormat="1" ht="24" customHeight="1">
      <c r="A21" s="25"/>
      <c r="B21" s="180"/>
      <c r="C21" s="174"/>
      <c r="D21" s="29"/>
      <c r="E21" s="25"/>
      <c r="F21" s="30"/>
      <c r="G21" s="25"/>
      <c r="H21" s="29"/>
      <c r="I21" s="31"/>
      <c r="J21" s="27"/>
      <c r="K21" s="2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s="13" customFormat="1" ht="24" customHeight="1">
      <c r="A22" s="25"/>
      <c r="B22" s="180"/>
      <c r="C22" s="174"/>
      <c r="D22" s="32"/>
      <c r="E22" s="25"/>
      <c r="F22" s="32"/>
      <c r="G22" s="25"/>
      <c r="H22" s="33"/>
      <c r="I22" s="31"/>
      <c r="J22" s="27"/>
      <c r="K22" s="2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s="13" customFormat="1" ht="24" customHeight="1">
      <c r="A23" s="25"/>
      <c r="B23" s="180"/>
      <c r="C23" s="174"/>
      <c r="D23" s="32"/>
      <c r="E23" s="25"/>
      <c r="F23" s="32"/>
      <c r="G23" s="25"/>
      <c r="H23" s="33"/>
      <c r="I23" s="31"/>
      <c r="J23" s="27"/>
      <c r="K23" s="2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s="13" customFormat="1" ht="24" customHeight="1">
      <c r="A24" s="25"/>
      <c r="B24" s="186"/>
      <c r="C24" s="174"/>
      <c r="D24" s="32"/>
      <c r="E24" s="25"/>
      <c r="F24" s="32"/>
      <c r="G24" s="25"/>
      <c r="H24" s="33"/>
      <c r="I24" s="31"/>
      <c r="J24" s="34"/>
      <c r="K24" s="3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s="13" customFormat="1" ht="24" customHeight="1">
      <c r="A25" s="32"/>
      <c r="B25" s="186"/>
      <c r="C25" s="174"/>
      <c r="D25" s="32"/>
      <c r="E25" s="25"/>
      <c r="F25" s="32"/>
      <c r="G25" s="25"/>
      <c r="H25" s="33"/>
      <c r="I25" s="31"/>
      <c r="J25" s="34"/>
      <c r="K25" s="3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s="13" customFormat="1" ht="24" customHeight="1">
      <c r="A26" s="32"/>
      <c r="B26" s="186"/>
      <c r="C26" s="174"/>
      <c r="D26" s="32"/>
      <c r="E26" s="25"/>
      <c r="F26" s="32"/>
      <c r="G26" s="25"/>
      <c r="H26" s="33"/>
      <c r="I26" s="35"/>
      <c r="J26" s="34"/>
      <c r="K26" s="3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s="13" customFormat="1" ht="24" customHeight="1">
      <c r="A27" s="32"/>
      <c r="B27" s="186"/>
      <c r="C27" s="174"/>
      <c r="D27" s="32"/>
      <c r="E27" s="25"/>
      <c r="F27" s="32"/>
      <c r="G27" s="25"/>
      <c r="H27" s="33"/>
      <c r="I27" s="35"/>
      <c r="J27" s="34"/>
      <c r="K27" s="3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s="13" customFormat="1" ht="24" customHeight="1">
      <c r="A28" s="32"/>
      <c r="B28" s="186"/>
      <c r="C28" s="174"/>
      <c r="D28" s="32"/>
      <c r="E28" s="25"/>
      <c r="F28" s="32"/>
      <c r="G28" s="25"/>
      <c r="H28" s="33"/>
      <c r="I28" s="35"/>
      <c r="J28" s="34"/>
      <c r="K28" s="3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s="13" customFormat="1" ht="24" customHeight="1">
      <c r="A29" s="32"/>
      <c r="B29" s="186"/>
      <c r="C29" s="174"/>
      <c r="D29" s="32"/>
      <c r="E29" s="25"/>
      <c r="F29" s="32"/>
      <c r="G29" s="25"/>
      <c r="H29" s="33"/>
      <c r="I29" s="35"/>
      <c r="J29" s="34"/>
      <c r="K29" s="3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s="13" customFormat="1" ht="24" customHeight="1">
      <c r="A30" s="32"/>
      <c r="B30" s="187"/>
      <c r="C30" s="174"/>
      <c r="D30" s="32"/>
      <c r="E30" s="32"/>
      <c r="F30" s="32"/>
      <c r="G30" s="25"/>
      <c r="H30" s="32"/>
      <c r="I30" s="35"/>
      <c r="J30" s="34"/>
      <c r="K30" s="3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s="13" customFormat="1" ht="24" customHeight="1">
      <c r="A31" s="188" t="str">
        <f>BAHTTEXT(J31)</f>
        <v>สี่พันแปดร้อยสี่สิบแปดบาทถ้วน</v>
      </c>
      <c r="B31" s="189"/>
      <c r="C31" s="189"/>
      <c r="D31" s="189"/>
      <c r="E31" s="189"/>
      <c r="F31" s="189"/>
      <c r="G31" s="189"/>
      <c r="H31" s="189"/>
      <c r="I31" s="189"/>
      <c r="J31" s="36">
        <f>SUM(J16:J30)</f>
        <v>4848</v>
      </c>
      <c r="K31" s="3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s="13" customFormat="1" ht="16.5" customHeight="1">
      <c r="A32" s="38"/>
      <c r="B32" s="192"/>
      <c r="C32" s="193"/>
      <c r="D32" s="39"/>
      <c r="E32" s="39"/>
      <c r="F32" s="39"/>
      <c r="G32" s="39"/>
      <c r="H32" s="39"/>
      <c r="I32" s="39"/>
      <c r="J32" s="40"/>
      <c r="K32" s="4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s="13" customFormat="1" ht="16.5" customHeight="1">
      <c r="A33" s="38"/>
      <c r="B33" s="194"/>
      <c r="C33" s="171"/>
      <c r="D33" s="39"/>
      <c r="E33" s="39"/>
      <c r="F33" s="39"/>
      <c r="G33" s="39"/>
      <c r="H33" s="39"/>
      <c r="I33" s="39"/>
      <c r="J33" s="40"/>
      <c r="K33" s="4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s="13" customFormat="1" ht="16.5" customHeight="1">
      <c r="A34" s="38"/>
      <c r="B34" s="194"/>
      <c r="C34" s="171"/>
      <c r="D34" s="39"/>
      <c r="E34" s="39"/>
      <c r="F34" s="39"/>
      <c r="G34" s="39"/>
      <c r="H34" s="39"/>
      <c r="I34" s="39"/>
      <c r="J34" s="40"/>
      <c r="K34" s="4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s="13" customFormat="1" ht="23.25" customHeight="1">
      <c r="A35" s="195" t="s">
        <v>51</v>
      </c>
      <c r="B35" s="171"/>
      <c r="C35" s="171"/>
      <c r="D35" s="171"/>
      <c r="E35" s="43"/>
      <c r="F35" s="12"/>
      <c r="G35" s="12"/>
      <c r="H35" s="12"/>
      <c r="I35" s="12"/>
      <c r="J35" s="191"/>
      <c r="K35" s="172"/>
      <c r="L35" s="44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s="13" customFormat="1" ht="45" customHeight="1">
      <c r="A36" s="45" t="s">
        <v>52</v>
      </c>
      <c r="B36" s="190">
        <f>K8</f>
        <v>46170</v>
      </c>
      <c r="C36" s="171"/>
      <c r="D36" s="46"/>
      <c r="E36" s="46"/>
      <c r="F36" s="46"/>
      <c r="G36" s="46"/>
      <c r="H36" s="46"/>
      <c r="I36" s="46"/>
      <c r="J36" s="191"/>
      <c r="K36" s="172"/>
      <c r="L36" s="4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s="13" customFormat="1" ht="20.25" customHeight="1">
      <c r="A37" s="42"/>
      <c r="B37" s="181"/>
      <c r="C37" s="171"/>
      <c r="D37" s="43"/>
      <c r="E37" s="43"/>
      <c r="F37" s="46"/>
      <c r="G37" s="46"/>
      <c r="H37" s="46"/>
      <c r="I37" s="46"/>
      <c r="J37" s="43"/>
      <c r="K37" s="47"/>
      <c r="L37" s="44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s="13" customFormat="1" ht="13.5" customHeight="1">
      <c r="A38" s="45"/>
      <c r="B38" s="182"/>
      <c r="C38" s="171"/>
      <c r="D38" s="12"/>
      <c r="E38" s="12"/>
      <c r="F38" s="12"/>
      <c r="G38" s="12"/>
      <c r="H38" s="12"/>
      <c r="I38" s="12"/>
      <c r="J38" s="12"/>
      <c r="K38" s="4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s="13" customFormat="1" ht="21" customHeight="1">
      <c r="A39" s="183" t="s">
        <v>57</v>
      </c>
      <c r="B39" s="171"/>
      <c r="C39" s="171"/>
      <c r="D39" s="171"/>
      <c r="E39" s="171"/>
      <c r="F39" s="171"/>
      <c r="G39" s="171"/>
      <c r="H39" s="171"/>
      <c r="I39" s="171"/>
      <c r="J39" s="171"/>
      <c r="K39" s="17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s="13" customFormat="1" ht="21.75" customHeight="1">
      <c r="A40" s="184" t="s">
        <v>53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67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2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ht="21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ht="21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ht="21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ht="21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ht="21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</sheetData>
  <mergeCells count="43">
    <mergeCell ref="J36:K36"/>
    <mergeCell ref="B32:C32"/>
    <mergeCell ref="B33:C33"/>
    <mergeCell ref="B34:C34"/>
    <mergeCell ref="A35:D35"/>
    <mergeCell ref="J35:K35"/>
    <mergeCell ref="B37:C37"/>
    <mergeCell ref="B38:C38"/>
    <mergeCell ref="A39:K39"/>
    <mergeCell ref="A40:K40"/>
    <mergeCell ref="B21:C21"/>
    <mergeCell ref="B29:C29"/>
    <mergeCell ref="B30:C30"/>
    <mergeCell ref="A31:I31"/>
    <mergeCell ref="B22:C22"/>
    <mergeCell ref="B23:C23"/>
    <mergeCell ref="B24:C24"/>
    <mergeCell ref="B25:C25"/>
    <mergeCell ref="B26:C26"/>
    <mergeCell ref="B27:C27"/>
    <mergeCell ref="B28:C28"/>
    <mergeCell ref="B36:C36"/>
    <mergeCell ref="B16:C16"/>
    <mergeCell ref="B17:C17"/>
    <mergeCell ref="B18:C18"/>
    <mergeCell ref="B19:C19"/>
    <mergeCell ref="B20:C20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C12:G12"/>
    <mergeCell ref="A1:K1"/>
    <mergeCell ref="A2:K2"/>
    <mergeCell ref="A3:K3"/>
    <mergeCell ref="A4:K4"/>
    <mergeCell ref="A5:K7"/>
  </mergeCells>
  <phoneticPr fontId="43" type="noConversion"/>
  <printOptions horizontalCentered="1" verticalCentered="1"/>
  <pageMargins left="0.25" right="0.25" top="0.75" bottom="0.75" header="0" footer="0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9"/>
  <sheetViews>
    <sheetView tabSelected="1" topLeftCell="A7" zoomScale="120" zoomScaleNormal="120" workbookViewId="0">
      <selection activeCell="B19" sqref="B19:C19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2.85546875" customWidth="1"/>
    <col min="4" max="4" width="17.42578125" customWidth="1"/>
    <col min="5" max="5" width="8.140625" customWidth="1"/>
    <col min="6" max="6" width="11.85546875" customWidth="1"/>
    <col min="7" max="7" width="17.5703125" customWidth="1"/>
    <col min="8" max="8" width="19" customWidth="1"/>
    <col min="9" max="9" width="12.42578125" customWidth="1"/>
    <col min="10" max="10" width="14" customWidth="1"/>
    <col min="11" max="11" width="15.42578125" customWidth="1"/>
    <col min="12" max="26" width="9" customWidth="1"/>
  </cols>
  <sheetData>
    <row r="1" spans="1:26" ht="24.75" customHeight="1">
      <c r="A1" s="154" t="s">
        <v>26</v>
      </c>
      <c r="B1" s="134"/>
      <c r="C1" s="134"/>
      <c r="D1" s="134"/>
      <c r="E1" s="134"/>
      <c r="F1" s="134"/>
      <c r="G1" s="134"/>
      <c r="H1" s="134"/>
      <c r="I1" s="134"/>
      <c r="J1" s="134"/>
      <c r="K1" s="155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4.75" customHeight="1">
      <c r="A2" s="156" t="s">
        <v>27</v>
      </c>
      <c r="B2" s="136"/>
      <c r="C2" s="136"/>
      <c r="D2" s="136"/>
      <c r="E2" s="136"/>
      <c r="F2" s="136"/>
      <c r="G2" s="136"/>
      <c r="H2" s="136"/>
      <c r="I2" s="136"/>
      <c r="J2" s="136"/>
      <c r="K2" s="13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>
      <c r="A3" s="157" t="s">
        <v>28</v>
      </c>
      <c r="B3" s="136"/>
      <c r="C3" s="136"/>
      <c r="D3" s="136"/>
      <c r="E3" s="136"/>
      <c r="F3" s="136"/>
      <c r="G3" s="136"/>
      <c r="H3" s="136"/>
      <c r="I3" s="136"/>
      <c r="J3" s="136"/>
      <c r="K3" s="13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>
      <c r="A4" s="158" t="s">
        <v>54</v>
      </c>
      <c r="B4" s="136"/>
      <c r="C4" s="136"/>
      <c r="D4" s="136"/>
      <c r="E4" s="136"/>
      <c r="F4" s="136"/>
      <c r="G4" s="136"/>
      <c r="H4" s="136"/>
      <c r="I4" s="136"/>
      <c r="J4" s="136"/>
      <c r="K4" s="13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>
      <c r="A5" s="159" t="s">
        <v>55</v>
      </c>
      <c r="B5" s="136"/>
      <c r="C5" s="136"/>
      <c r="D5" s="136"/>
      <c r="E5" s="136"/>
      <c r="F5" s="136"/>
      <c r="G5" s="136"/>
      <c r="H5" s="136"/>
      <c r="I5" s="136"/>
      <c r="J5" s="136"/>
      <c r="K5" s="13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4.75" customHeight="1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4.7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2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13" customFormat="1" ht="21" customHeight="1">
      <c r="A8" s="168" t="s">
        <v>56</v>
      </c>
      <c r="B8" s="164"/>
      <c r="C8" s="164"/>
      <c r="D8" s="164"/>
      <c r="E8" s="164"/>
      <c r="F8" s="164"/>
      <c r="G8" s="163" t="str">
        <f>""&amp;ค่าขนส่ง!G8&amp;"AD"</f>
        <v>NTIV2605-001AD</v>
      </c>
      <c r="H8" s="164"/>
      <c r="I8" s="164"/>
      <c r="J8" s="11" t="s">
        <v>32</v>
      </c>
      <c r="K8" s="166">
        <f>ค่าขนส่ง!K8</f>
        <v>46170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13" customFormat="1" ht="26.25" customHeight="1">
      <c r="A9" s="169"/>
      <c r="B9" s="165"/>
      <c r="C9" s="165"/>
      <c r="D9" s="165"/>
      <c r="E9" s="165"/>
      <c r="F9" s="165"/>
      <c r="G9" s="165"/>
      <c r="H9" s="165"/>
      <c r="I9" s="165"/>
      <c r="J9" s="14" t="s">
        <v>33</v>
      </c>
      <c r="K9" s="167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s="13" customFormat="1" ht="24.75" customHeight="1">
      <c r="A10" s="170"/>
      <c r="B10" s="171"/>
      <c r="C10" s="171"/>
      <c r="D10" s="171"/>
      <c r="E10" s="171"/>
      <c r="F10" s="171"/>
      <c r="G10" s="171"/>
      <c r="H10" s="171"/>
      <c r="I10" s="171"/>
      <c r="J10" s="171"/>
      <c r="K10" s="17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s="13" customFormat="1" ht="22.5" customHeight="1">
      <c r="A11" s="15" t="s">
        <v>34</v>
      </c>
      <c r="B11" s="16"/>
      <c r="C11" s="17" t="str">
        <f>ค่าขนส่ง!C11</f>
        <v>บริษัท นิปปอน เอ็กซ์เพรส โลจิสติกส์ (ประเทศไทย) จำกัด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s="13" customFormat="1" ht="22.5" customHeight="1">
      <c r="A12" s="19" t="s">
        <v>35</v>
      </c>
      <c r="B12" s="20"/>
      <c r="C12" s="116" t="str">
        <f>ค่าขนส่ง!C12</f>
        <v>700/1057 ม.9 ต.มาบโป่ง  อ.พานทอง จ.ชลบุรี  20160</v>
      </c>
      <c r="D12" s="20"/>
      <c r="E12" s="20"/>
      <c r="F12" s="20"/>
      <c r="G12" s="20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s="13" customFormat="1" ht="19.5" customHeight="1">
      <c r="A13" s="19" t="s">
        <v>36</v>
      </c>
      <c r="B13" s="20"/>
      <c r="C13" s="116" t="str">
        <f>ค่าขนส่ง!C13</f>
        <v xml:space="preserve">เลขประจำตัวผู้เสียภาษี 0105534021577  </v>
      </c>
      <c r="D13" s="20"/>
      <c r="E13" s="20"/>
      <c r="F13" s="20"/>
      <c r="G13" s="20"/>
      <c r="H13" s="20"/>
      <c r="I13" s="20"/>
      <c r="J13" s="20"/>
      <c r="K13" s="2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s="13" customFormat="1" ht="21.75" customHeight="1">
      <c r="A14" s="23" t="s">
        <v>37</v>
      </c>
      <c r="B14" s="173" t="s">
        <v>38</v>
      </c>
      <c r="C14" s="174"/>
      <c r="D14" s="175" t="s">
        <v>39</v>
      </c>
      <c r="E14" s="175" t="s">
        <v>40</v>
      </c>
      <c r="F14" s="23" t="s">
        <v>41</v>
      </c>
      <c r="G14" s="175" t="s">
        <v>42</v>
      </c>
      <c r="H14" s="175" t="s">
        <v>43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13" customFormat="1" ht="21.75" customHeight="1">
      <c r="A15" s="23" t="s">
        <v>46</v>
      </c>
      <c r="B15" s="173" t="s">
        <v>47</v>
      </c>
      <c r="C15" s="174"/>
      <c r="D15" s="196"/>
      <c r="E15" s="176"/>
      <c r="F15" s="23" t="s">
        <v>48</v>
      </c>
      <c r="G15" s="176"/>
      <c r="H15" s="196"/>
      <c r="I15" s="23" t="s">
        <v>33</v>
      </c>
      <c r="J15" s="23" t="s">
        <v>49</v>
      </c>
      <c r="K15" s="23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s="13" customFormat="1" ht="24" customHeight="1">
      <c r="A16" s="25">
        <f>ค่าขนส่ง!A16</f>
        <v>1</v>
      </c>
      <c r="B16" s="186" t="str">
        <f>ค่าขนส่ง!B16</f>
        <v>LCB-KAO</v>
      </c>
      <c r="C16" s="174"/>
      <c r="D16" s="25" t="str">
        <f>ค่าขนส่ง!D16</f>
        <v>APSU4234033</v>
      </c>
      <c r="E16" s="25">
        <f>ค่าขนส่ง!E16</f>
        <v>40</v>
      </c>
      <c r="F16" s="25" t="str">
        <f>ค่าขนส่ง!F16</f>
        <v>72-1218</v>
      </c>
      <c r="G16" s="25" t="str">
        <f>ค่าขนส่ง!G16</f>
        <v>KAO</v>
      </c>
      <c r="H16" s="25" t="str">
        <f>ค่าขนส่ง!H16</f>
        <v>APTLCBJKT260500047</v>
      </c>
      <c r="I16" s="26">
        <f>ค่าขนส่ง!I16</f>
        <v>46154</v>
      </c>
      <c r="J16" s="127">
        <v>1326</v>
      </c>
      <c r="K16" s="32" t="str">
        <f>IF(B16&lt;&gt;"","ค่าใช้จ่าย","")</f>
        <v>ค่าใช้จ่าย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13" customFormat="1" ht="24" customHeight="1">
      <c r="A17" s="25"/>
      <c r="B17" s="186"/>
      <c r="C17" s="174"/>
      <c r="D17" s="25"/>
      <c r="E17" s="25"/>
      <c r="F17" s="25"/>
      <c r="G17" s="25"/>
      <c r="H17" s="25"/>
      <c r="I17" s="26"/>
      <c r="J17" s="127"/>
      <c r="K17" s="3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s="13" customFormat="1" ht="24" customHeight="1">
      <c r="A18" s="25"/>
      <c r="B18" s="186"/>
      <c r="C18" s="174"/>
      <c r="D18" s="25"/>
      <c r="E18" s="25"/>
      <c r="F18" s="25"/>
      <c r="G18" s="25"/>
      <c r="H18" s="25"/>
      <c r="I18" s="26"/>
      <c r="J18" s="127"/>
      <c r="K18" s="3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13" customFormat="1" ht="24" customHeight="1">
      <c r="A19" s="25"/>
      <c r="B19" s="186"/>
      <c r="C19" s="174"/>
      <c r="D19" s="25"/>
      <c r="E19" s="25"/>
      <c r="F19" s="25"/>
      <c r="G19" s="25"/>
      <c r="H19" s="25"/>
      <c r="I19" s="26"/>
      <c r="J19" s="127"/>
      <c r="K19" s="3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s="13" customFormat="1" ht="24" customHeight="1">
      <c r="A20" s="25"/>
      <c r="B20" s="186"/>
      <c r="C20" s="174"/>
      <c r="D20" s="25"/>
      <c r="E20" s="25"/>
      <c r="F20" s="25"/>
      <c r="G20" s="25"/>
      <c r="H20" s="25"/>
      <c r="I20" s="26"/>
      <c r="J20" s="27"/>
      <c r="K20" s="3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s="13" customFormat="1" ht="24" customHeight="1">
      <c r="A21" s="25"/>
      <c r="B21" s="186"/>
      <c r="C21" s="174"/>
      <c r="D21" s="25"/>
      <c r="E21" s="25"/>
      <c r="F21" s="25"/>
      <c r="G21" s="25"/>
      <c r="H21" s="25"/>
      <c r="I21" s="26"/>
      <c r="J21" s="49"/>
      <c r="K21" s="3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13" customFormat="1" ht="24" customHeight="1">
      <c r="A22" s="25"/>
      <c r="B22" s="186"/>
      <c r="C22" s="174"/>
      <c r="D22" s="25"/>
      <c r="E22" s="25"/>
      <c r="F22" s="25"/>
      <c r="G22" s="25"/>
      <c r="H22" s="50"/>
      <c r="I22" s="26"/>
      <c r="J22" s="49"/>
      <c r="K22" s="3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13" customFormat="1" ht="24" customHeight="1">
      <c r="A23" s="25"/>
      <c r="B23" s="186"/>
      <c r="C23" s="174"/>
      <c r="D23" s="25"/>
      <c r="E23" s="25"/>
      <c r="F23" s="25"/>
      <c r="G23" s="25"/>
      <c r="H23" s="50"/>
      <c r="I23" s="26"/>
      <c r="J23" s="49"/>
      <c r="K23" s="3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s="13" customFormat="1" ht="24" customHeight="1">
      <c r="A24" s="25"/>
      <c r="B24" s="186"/>
      <c r="C24" s="174"/>
      <c r="D24" s="25"/>
      <c r="E24" s="25"/>
      <c r="F24" s="25"/>
      <c r="G24" s="25"/>
      <c r="H24" s="50"/>
      <c r="I24" s="26"/>
      <c r="J24" s="34"/>
      <c r="K24" s="3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s="13" customFormat="1" ht="24" customHeight="1">
      <c r="A25" s="25"/>
      <c r="B25" s="186"/>
      <c r="C25" s="174"/>
      <c r="D25" s="25"/>
      <c r="E25" s="25"/>
      <c r="F25" s="25"/>
      <c r="G25" s="25"/>
      <c r="H25" s="50"/>
      <c r="I25" s="26"/>
      <c r="J25" s="34"/>
      <c r="K25" s="3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s="13" customFormat="1" ht="24" customHeight="1">
      <c r="A26" s="25"/>
      <c r="B26" s="186"/>
      <c r="C26" s="174"/>
      <c r="D26" s="25"/>
      <c r="E26" s="25"/>
      <c r="F26" s="25"/>
      <c r="G26" s="25"/>
      <c r="H26" s="50"/>
      <c r="I26" s="26"/>
      <c r="J26" s="34"/>
      <c r="K26" s="3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13" customFormat="1" ht="24" customHeight="1">
      <c r="A27" s="25"/>
      <c r="B27" s="186"/>
      <c r="C27" s="174"/>
      <c r="D27" s="25"/>
      <c r="E27" s="25"/>
      <c r="F27" s="25"/>
      <c r="G27" s="25"/>
      <c r="H27" s="50"/>
      <c r="I27" s="26"/>
      <c r="J27" s="34"/>
      <c r="K27" s="3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s="13" customFormat="1" ht="24" customHeight="1">
      <c r="A28" s="25"/>
      <c r="B28" s="186"/>
      <c r="C28" s="174"/>
      <c r="D28" s="25"/>
      <c r="E28" s="25"/>
      <c r="F28" s="25"/>
      <c r="G28" s="25"/>
      <c r="H28" s="50"/>
      <c r="I28" s="26"/>
      <c r="J28" s="34"/>
      <c r="K28" s="3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13" customFormat="1" ht="24" customHeight="1">
      <c r="A29" s="25"/>
      <c r="B29" s="186"/>
      <c r="C29" s="174"/>
      <c r="D29" s="25"/>
      <c r="E29" s="25"/>
      <c r="F29" s="25"/>
      <c r="G29" s="25"/>
      <c r="H29" s="50"/>
      <c r="I29" s="26"/>
      <c r="J29" s="34"/>
      <c r="K29" s="3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s="13" customFormat="1" ht="24" customHeight="1">
      <c r="A30" s="25"/>
      <c r="B30" s="186"/>
      <c r="C30" s="174"/>
      <c r="D30" s="25"/>
      <c r="E30" s="25"/>
      <c r="F30" s="25"/>
      <c r="G30" s="25"/>
      <c r="H30" s="25"/>
      <c r="I30" s="26"/>
      <c r="J30" s="34"/>
      <c r="K30" s="3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13" customFormat="1" ht="24" customHeight="1">
      <c r="A31" s="25"/>
      <c r="B31" s="186"/>
      <c r="C31" s="174"/>
      <c r="D31" s="32"/>
      <c r="E31" s="32"/>
      <c r="F31" s="32"/>
      <c r="G31" s="25"/>
      <c r="H31" s="32"/>
      <c r="I31" s="35"/>
      <c r="J31" s="34"/>
      <c r="K31" s="3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s="13" customFormat="1" ht="24" customHeight="1">
      <c r="A32" s="188" t="str">
        <f>BAHTTEXT(J32)</f>
        <v>หนึ่งพันสามร้อยยี่สิบหกบาทถ้วน</v>
      </c>
      <c r="B32" s="189"/>
      <c r="C32" s="189"/>
      <c r="D32" s="189"/>
      <c r="E32" s="189"/>
      <c r="F32" s="189"/>
      <c r="G32" s="189"/>
      <c r="H32" s="189"/>
      <c r="I32" s="189"/>
      <c r="J32" s="36">
        <f>SUM(J16:J31)</f>
        <v>1326</v>
      </c>
      <c r="K32" s="37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s="13" customFormat="1" ht="16.5" customHeight="1">
      <c r="A33" s="38"/>
      <c r="B33" s="192"/>
      <c r="C33" s="193"/>
      <c r="D33" s="39"/>
      <c r="E33" s="39"/>
      <c r="F33" s="39"/>
      <c r="G33" s="39"/>
      <c r="H33" s="39"/>
      <c r="I33" s="39"/>
      <c r="J33" s="40"/>
      <c r="K33" s="4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s="13" customFormat="1" ht="16.5" customHeight="1">
      <c r="A34" s="38"/>
      <c r="B34" s="194"/>
      <c r="C34" s="171"/>
      <c r="D34" s="39"/>
      <c r="E34" s="39"/>
      <c r="F34" s="39"/>
      <c r="G34" s="39"/>
      <c r="H34" s="39"/>
      <c r="I34" s="39"/>
      <c r="J34" s="40"/>
      <c r="K34" s="4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s="13" customFormat="1" ht="16.5" customHeight="1">
      <c r="A35" s="38"/>
      <c r="B35" s="194"/>
      <c r="C35" s="171"/>
      <c r="D35" s="39"/>
      <c r="E35" s="39"/>
      <c r="F35" s="39"/>
      <c r="G35" s="39"/>
      <c r="H35" s="39"/>
      <c r="I35" s="39"/>
      <c r="J35" s="40"/>
      <c r="K35" s="4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s="13" customFormat="1" ht="23.25" customHeight="1">
      <c r="A36" s="195" t="s">
        <v>51</v>
      </c>
      <c r="B36" s="171"/>
      <c r="C36" s="171"/>
      <c r="D36" s="171"/>
      <c r="E36" s="43"/>
      <c r="F36" s="12"/>
      <c r="G36" s="12"/>
      <c r="H36" s="12"/>
      <c r="I36" s="12"/>
      <c r="J36" s="191"/>
      <c r="K36" s="172"/>
      <c r="L36" s="4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s="13" customFormat="1" ht="45" customHeight="1">
      <c r="A37" s="45" t="s">
        <v>52</v>
      </c>
      <c r="B37" s="190">
        <f>K8</f>
        <v>46170</v>
      </c>
      <c r="C37" s="171"/>
      <c r="D37" s="46"/>
      <c r="E37" s="46"/>
      <c r="F37" s="46"/>
      <c r="G37" s="46"/>
      <c r="H37" s="46"/>
      <c r="I37" s="46"/>
      <c r="J37" s="191"/>
      <c r="K37" s="172"/>
      <c r="L37" s="44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s="13" customFormat="1" ht="20.25" customHeight="1">
      <c r="A38" s="42"/>
      <c r="B38" s="181"/>
      <c r="C38" s="171"/>
      <c r="D38" s="43"/>
      <c r="E38" s="43"/>
      <c r="F38" s="46"/>
      <c r="G38" s="46"/>
      <c r="H38" s="46"/>
      <c r="I38" s="46"/>
      <c r="J38" s="43"/>
      <c r="K38" s="47"/>
      <c r="L38" s="44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s="13" customFormat="1" ht="13.5" customHeight="1">
      <c r="A39" s="45"/>
      <c r="B39" s="182"/>
      <c r="C39" s="171"/>
      <c r="D39" s="12"/>
      <c r="E39" s="12"/>
      <c r="F39" s="12"/>
      <c r="G39" s="12"/>
      <c r="H39" s="12"/>
      <c r="I39" s="12"/>
      <c r="J39" s="12"/>
      <c r="K39" s="48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s="13" customFormat="1" ht="21" customHeight="1">
      <c r="A40" s="183" t="s">
        <v>57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13" customFormat="1" ht="21.75" customHeight="1">
      <c r="A41" s="184" t="s">
        <v>53</v>
      </c>
      <c r="B41" s="185"/>
      <c r="C41" s="185"/>
      <c r="D41" s="185"/>
      <c r="E41" s="185"/>
      <c r="F41" s="185"/>
      <c r="G41" s="185"/>
      <c r="H41" s="185"/>
      <c r="I41" s="185"/>
      <c r="J41" s="185"/>
      <c r="K41" s="167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6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6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6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6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21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21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21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21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21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mergeCells count="43">
    <mergeCell ref="A41:K41"/>
    <mergeCell ref="A36:D36"/>
    <mergeCell ref="J36:K36"/>
    <mergeCell ref="B37:C37"/>
    <mergeCell ref="J37:K37"/>
    <mergeCell ref="B38:C38"/>
    <mergeCell ref="B39:C39"/>
    <mergeCell ref="A40:K40"/>
    <mergeCell ref="B31:C31"/>
    <mergeCell ref="A32:I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A1:K1"/>
    <mergeCell ref="A2:K2"/>
    <mergeCell ref="A3:K3"/>
    <mergeCell ref="A4:K4"/>
    <mergeCell ref="A5:K7"/>
  </mergeCells>
  <printOptions horizontalCentered="1" verticalCentered="1"/>
  <pageMargins left="0.25" right="0.25" top="0.75" bottom="0.75" header="0" footer="0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ปะหน้า</vt:lpstr>
      <vt:lpstr>ค่าขนส่ง</vt:lpstr>
      <vt:lpstr>ค่าทดรองจ่าย</vt:lpstr>
      <vt:lpstr>ค่าขนส่ง!Print_Area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2026-04-28T02:27:08Z</cp:lastPrinted>
  <dcterms:created xsi:type="dcterms:W3CDTF">2017-06-08T03:55:16Z</dcterms:created>
  <dcterms:modified xsi:type="dcterms:W3CDTF">2026-05-28T03:48:31Z</dcterms:modified>
</cp:coreProperties>
</file>