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\Desktop\วางบิล CJ\6.2026\"/>
    </mc:Choice>
  </mc:AlternateContent>
  <xr:revisionPtr revIDLastSave="0" documentId="13_ncr:1_{5A2BDE43-109B-42AE-9B4E-CE736C8446C5}" xr6:coauthVersionLast="47" xr6:coauthVersionMax="47" xr10:uidLastSave="{00000000-0000-0000-0000-000000000000}"/>
  <bookViews>
    <workbookView xWindow="-120" yWindow="-120" windowWidth="21840" windowHeight="13020" activeTab="3" xr2:uid="{00000000-000D-0000-FFFF-FFFF00000000}"/>
  </bookViews>
  <sheets>
    <sheet name="ปะหน้า" sheetId="1" r:id="rId1"/>
    <sheet name="ค่าขนส่ง" sheetId="2" r:id="rId2"/>
    <sheet name="ปะหน้า (2)" sheetId="4" r:id="rId3"/>
    <sheet name="ค่าทดรองจ่าย" sheetId="3" r:id="rId4"/>
  </sheets>
  <definedNames>
    <definedName name="_xlnm.Print_Area" localSheetId="1">ค่าขนส่ง!$A$1:$K$35</definedName>
  </definedNames>
  <calcPr calcId="191029"/>
  <extLst>
    <ext uri="GoogleSheetsCustomDataVersion2">
      <go:sheetsCustomData xmlns:go="http://customooxmlschemas.google.com/" r:id="rId7" roundtripDataChecksum="D+Kn20/GmdcA7nvkSM02PUbAoqqo04KMhUEsIq33/xU="/>
    </ext>
  </extLst>
</workbook>
</file>

<file path=xl/calcChain.xml><?xml version="1.0" encoding="utf-8"?>
<calcChain xmlns="http://schemas.openxmlformats.org/spreadsheetml/2006/main">
  <c r="K26" i="3" l="1"/>
  <c r="L26" i="3"/>
  <c r="M26" i="3"/>
  <c r="N26" i="3"/>
  <c r="O17" i="3"/>
  <c r="O18" i="3"/>
  <c r="O19" i="3"/>
  <c r="O20" i="3"/>
  <c r="O21" i="3"/>
  <c r="O16" i="3"/>
  <c r="J26" i="3"/>
  <c r="O26" i="3" l="1"/>
  <c r="I16" i="4" s="1"/>
  <c r="A26" i="3"/>
  <c r="B12" i="4"/>
  <c r="B11" i="4"/>
  <c r="J9" i="4"/>
  <c r="B8" i="4"/>
  <c r="G8" i="3"/>
  <c r="C13" i="3"/>
  <c r="C12" i="3"/>
  <c r="C11" i="3"/>
  <c r="O8" i="3"/>
  <c r="B31" i="3" s="1"/>
  <c r="B31" i="2"/>
  <c r="J26" i="2"/>
  <c r="A26" i="2" s="1"/>
  <c r="B16" i="1"/>
  <c r="B12" i="1"/>
  <c r="B11" i="1"/>
  <c r="J9" i="1"/>
  <c r="B8" i="1"/>
  <c r="B16" i="4" l="1"/>
  <c r="J16" i="4"/>
  <c r="J36" i="4" s="1"/>
  <c r="J38" i="4" s="1"/>
  <c r="C36" i="4" s="1"/>
  <c r="I16" i="1"/>
  <c r="J16" i="1" s="1"/>
  <c r="J37" i="1" l="1"/>
  <c r="J39" i="1" s="1"/>
  <c r="C37" i="1" s="1"/>
</calcChain>
</file>

<file path=xl/sharedStrings.xml><?xml version="1.0" encoding="utf-8"?>
<sst xmlns="http://schemas.openxmlformats.org/spreadsheetml/2006/main" count="193" uniqueCount="92">
  <si>
    <r>
      <rPr>
        <b/>
        <sz val="16"/>
        <color theme="1"/>
        <rFont val="Browallia New"/>
        <family val="2"/>
      </rPr>
      <t>Y.K. Logistics CO., LTD.</t>
    </r>
    <r>
      <rPr>
        <sz val="12"/>
        <color theme="1"/>
        <rFont val="Browallia New"/>
        <family val="2"/>
      </rPr>
      <t xml:space="preserve">
บริษัท วาย.เค. ลอจิสติค จำกัด (สำนักงานใหญ่)
70 หมู่ 5 ตำบล เชียงรากน้อย อำเภอบางปะอิน จังหวัดพระนครศรีอยุธยา 13180
เลขประจำตัวผู้เสียภาษี 0125548009248</t>
    </r>
  </si>
  <si>
    <t>ใบปะหน้าวางบิลค่าขนส่ง</t>
  </si>
  <si>
    <t>ชื่อลูกค้า/Customer</t>
  </si>
  <si>
    <t>วันที่  Date</t>
  </si>
  <si>
    <t>Rev.</t>
  </si>
  <si>
    <t>ที่อยู่ / Adress</t>
  </si>
  <si>
    <t>เงื่อนไขการชำระเงิน</t>
  </si>
  <si>
    <t>วันที่ครบกำหนด</t>
  </si>
  <si>
    <t>ลำดับที่</t>
  </si>
  <si>
    <t>รายละเอียด</t>
  </si>
  <si>
    <t>จำนวน</t>
  </si>
  <si>
    <t>ราคาต่อหน่วย</t>
  </si>
  <si>
    <t>จำนวนเงิน</t>
  </si>
  <si>
    <t>Item</t>
  </si>
  <si>
    <t>Description</t>
  </si>
  <si>
    <t>Quantity</t>
  </si>
  <si>
    <t>Unit / Price</t>
  </si>
  <si>
    <t>Amount</t>
  </si>
  <si>
    <t>บาท  (Baht)</t>
  </si>
  <si>
    <t>รวมเงิน (Subtotal)</t>
  </si>
  <si>
    <t>ภาษีมูลค่าเพิ่ม (Value Added Tax) 7%</t>
  </si>
  <si>
    <t>จำนวนเงินทั้งสิ้น (Grand Total)</t>
  </si>
  <si>
    <t>ผู้วางบิล</t>
  </si>
  <si>
    <t>ผู้รับใบวางบิล</t>
  </si>
  <si>
    <t>วันนัดรับเช็ค</t>
  </si>
  <si>
    <t xml:space="preserve">ใบแจ้งหนี้ทุกฉบับจะต้องชำระเงินภายในเวลาที่ตกลงกันไว้ และ/หรือ ชำระเงินภายในกำหนดข้างต้น มิฉะนั้นทางบริษัทฯจะคิดอัตราดอกเบี้ย
ตามที่กฎหมายระบุไว้สูงสุด เมื่อชำระเงินแล้วโปรดเรียกใบเสร็จรับเงิน จากทางบริษัทฯทุกครั้ง
</t>
  </si>
  <si>
    <t>Y.K. Logistics  Co.,ltd</t>
  </si>
  <si>
    <t xml:space="preserve">        บริษัท  วาย.เค. ลอจิสติค  จำกัด (สำนักงานใหญ่)</t>
  </si>
  <si>
    <t xml:space="preserve">      70  หมู่ 5  ตำบลเชียงรากน้อย  อำเภอบางปะอิน  จังหวัดพระนครศรีอยุธยา  13180</t>
  </si>
  <si>
    <t xml:space="preserve">           เลขประจำตัวผู้เสียภาษี 0125548009248</t>
  </si>
  <si>
    <t>ใบแจ้งหนี้ / INVOICE</t>
  </si>
  <si>
    <t xml:space="preserve">ใบแจ้งหนี้เลขที่  </t>
  </si>
  <si>
    <t xml:space="preserve">วันที่ </t>
  </si>
  <si>
    <t>DATE</t>
  </si>
  <si>
    <t xml:space="preserve">CUSTOMER : </t>
  </si>
  <si>
    <t xml:space="preserve">ADDRESS    :  </t>
  </si>
  <si>
    <t xml:space="preserve">                          </t>
  </si>
  <si>
    <t>ลำดับ</t>
  </si>
  <si>
    <t>รายการบรรทุก</t>
  </si>
  <si>
    <t>CONT</t>
  </si>
  <si>
    <t>SIZE</t>
  </si>
  <si>
    <t>ทะเบียนรถ</t>
  </si>
  <si>
    <t>CUST.</t>
  </si>
  <si>
    <t>JOB</t>
  </si>
  <si>
    <t>วันที่บรรทุก</t>
  </si>
  <si>
    <t>หมายเหตุ</t>
  </si>
  <si>
    <t>ITEM</t>
  </si>
  <si>
    <t>TRUCK LIST</t>
  </si>
  <si>
    <t>TRUCK NO.</t>
  </si>
  <si>
    <t>AMOUNT</t>
  </si>
  <si>
    <t>REMAKR</t>
  </si>
  <si>
    <t>ผู้วางบิล.……………………….………</t>
  </si>
  <si>
    <t>วันที่</t>
  </si>
  <si>
    <t>ตามที่กฎหมายระบุไว้สูงสุด เมื่อชำระเงินแล้วโปรดเรียกใบเสร็จรับเงิน จากบริษัทฯทุกครั้ง</t>
  </si>
  <si>
    <t xml:space="preserve">    เลขประจำตัวผู้เสียภาษี 0125548009248</t>
  </si>
  <si>
    <t>ใบแจ้งหนี้ทดรองจ่าย / Advance Billing</t>
  </si>
  <si>
    <t xml:space="preserve">ใบแจ้งยอดทดรองเลขที่  </t>
  </si>
  <si>
    <r>
      <rPr>
        <b/>
        <sz val="16"/>
        <color theme="1"/>
        <rFont val="Angsana New"/>
        <family val="1"/>
        <charset val="222"/>
      </rPr>
      <t xml:space="preserve">หมายเหตุ : </t>
    </r>
    <r>
      <rPr>
        <sz val="16"/>
        <color theme="1"/>
        <rFont val="Angsana New"/>
        <family val="1"/>
        <charset val="222"/>
      </rPr>
      <t>ใบแจ้งนี้ทุกฉบับจะต้องชำระเงินภายในเวลาที่ตกลงกันไว้และ/หรือ ชำระเงินภายในกำหนดข้างต้น มิฉะนั้นทางบริษัทฯจะคิดอัตราดอกเบี้ย</t>
    </r>
  </si>
  <si>
    <t xml:space="preserve">ค่าขนส่ง </t>
  </si>
  <si>
    <t>HAIER APPLIANCES</t>
  </si>
  <si>
    <t>เรทน้ำมัน = 41.72</t>
  </si>
  <si>
    <t>CJ Logistics (Thailand) Co.,Ltd.</t>
  </si>
  <si>
    <t>598 Q House Pleonchit Building, 16th Fl., Pleonchit rd., Lumphinee, Pathumwan, Bangkok 10330</t>
  </si>
  <si>
    <t>TAX ID : 0105547034923</t>
  </si>
  <si>
    <t>LCB -VR304</t>
  </si>
  <si>
    <t>72-1218</t>
  </si>
  <si>
    <t>ค่ายก</t>
  </si>
  <si>
    <t>ค่าผ่านลาน</t>
  </si>
  <si>
    <t>ค่าเข้าท่า</t>
  </si>
  <si>
    <t>Lift on</t>
  </si>
  <si>
    <t>Gate charge</t>
  </si>
  <si>
    <t>Port toll fee</t>
  </si>
  <si>
    <t>Cleaning cost</t>
  </si>
  <si>
    <t>หัก ณ ที่จ่าย</t>
  </si>
  <si>
    <t>Withholding tax</t>
  </si>
  <si>
    <t>71-9627</t>
  </si>
  <si>
    <t>LCB -TRI-WALL</t>
  </si>
  <si>
    <t>CJIV2606-001</t>
  </si>
  <si>
    <t>COAU7269153180</t>
  </si>
  <si>
    <t>COAU7269149760</t>
  </si>
  <si>
    <t>CULVNAS2618583</t>
  </si>
  <si>
    <t>COAU7269159720W</t>
  </si>
  <si>
    <t>OOCU8053610</t>
  </si>
  <si>
    <t>OOLU9157596</t>
  </si>
  <si>
    <t>CSNU7866168</t>
  </si>
  <si>
    <t>TRHU6140014</t>
  </si>
  <si>
    <t>TEMU3133511</t>
  </si>
  <si>
    <t>TIIU6896809</t>
  </si>
  <si>
    <t>72-1217</t>
  </si>
  <si>
    <t>71-6802</t>
  </si>
  <si>
    <t>71-8681</t>
  </si>
  <si>
    <t>ค่าล้าง/ซ่อม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</si>
</sst>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87" formatCode="_(* #,##0.00_);_(* \(#,##0.00\);_(* &quot;-&quot;??_);_(@_)"/>
    <numFmt numFmtId="188" formatCode="[$-1010409]d\ mmm\ yy"/>
    <numFmt numFmtId="189" formatCode="_-* #,##0.00_-;\-* #,##0.00_-;_-* &quot;-&quot;??_-;_-@"/>
  </numFmts>
  <fonts count="46">
    <font>
      <sz val="11"/>
      <color theme="1"/>
      <name val="Calibri"/>
      <scheme val="minor"/>
    </font>
    <font>
      <sz val="11"/>
      <color theme="1"/>
      <name val="Calibri"/>
      <family val="2"/>
    </font>
    <font>
      <sz val="12"/>
      <color theme="1"/>
      <name val="Browallia New"/>
      <family val="2"/>
    </font>
    <font>
      <sz val="11"/>
      <name val="Calibri"/>
      <family val="2"/>
    </font>
    <font>
      <b/>
      <sz val="16"/>
      <color theme="1"/>
      <name val="Calibri"/>
      <family val="2"/>
    </font>
    <font>
      <b/>
      <sz val="20"/>
      <color theme="1"/>
      <name val="Times New Roman"/>
      <family val="1"/>
    </font>
    <font>
      <sz val="16"/>
      <color theme="1"/>
      <name val="Calibri"/>
      <family val="2"/>
    </font>
    <font>
      <sz val="20"/>
      <color theme="1"/>
      <name val="Angsana New"/>
      <family val="1"/>
    </font>
    <font>
      <sz val="14"/>
      <color theme="1"/>
      <name val="Angsana New"/>
      <family val="1"/>
    </font>
    <font>
      <b/>
      <sz val="20"/>
      <color theme="1"/>
      <name val="Angsana New"/>
      <family val="1"/>
    </font>
    <font>
      <sz val="20"/>
      <color theme="1"/>
      <name val="Calibri"/>
      <family val="2"/>
    </font>
    <font>
      <b/>
      <sz val="16"/>
      <color theme="1"/>
      <name val="Browallia New"/>
      <family val="2"/>
    </font>
    <font>
      <b/>
      <sz val="16"/>
      <color theme="1"/>
      <name val="Angsana New"/>
      <family val="1"/>
      <charset val="222"/>
    </font>
    <font>
      <sz val="16"/>
      <name val="Calibri"/>
      <family val="2"/>
    </font>
    <font>
      <sz val="16"/>
      <color theme="1"/>
      <name val="Calibri"/>
      <family val="2"/>
    </font>
    <font>
      <sz val="16"/>
      <color theme="1"/>
      <name val="Calibri"/>
      <family val="2"/>
      <scheme val="minor"/>
    </font>
    <font>
      <sz val="16"/>
      <color theme="1"/>
      <name val="Angsana New"/>
      <family val="1"/>
      <charset val="222"/>
    </font>
    <font>
      <sz val="16"/>
      <color theme="1"/>
      <name val="AngsanaUPC"/>
      <family val="1"/>
      <charset val="222"/>
    </font>
    <font>
      <b/>
      <sz val="16"/>
      <color theme="1"/>
      <name val="AngsanaUPC"/>
      <family val="1"/>
      <charset val="222"/>
    </font>
    <font>
      <b/>
      <sz val="20"/>
      <color theme="1"/>
      <name val="Angsana New"/>
      <family val="1"/>
      <charset val="222"/>
    </font>
    <font>
      <sz val="20"/>
      <name val="Calibri"/>
      <family val="2"/>
    </font>
    <font>
      <sz val="9"/>
      <color theme="1"/>
      <name val="Angsana New"/>
      <family val="1"/>
      <charset val="222"/>
    </font>
    <font>
      <sz val="10"/>
      <color theme="1"/>
      <name val="Calibri"/>
      <family val="2"/>
    </font>
    <font>
      <sz val="10"/>
      <color theme="1"/>
      <name val="Angsana New"/>
      <family val="1"/>
      <charset val="222"/>
    </font>
    <font>
      <b/>
      <sz val="10"/>
      <color theme="1"/>
      <name val="Browallia New"/>
      <family val="2"/>
      <charset val="22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Angsana New"/>
      <family val="1"/>
      <charset val="222"/>
    </font>
    <font>
      <sz val="10"/>
      <color theme="1"/>
      <name val="Browallia New"/>
      <family val="2"/>
      <charset val="222"/>
    </font>
    <font>
      <b/>
      <sz val="10"/>
      <color rgb="FF000000"/>
      <name val="Browallia New"/>
      <family val="2"/>
      <charset val="22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Browallia New"/>
      <family val="2"/>
      <charset val="222"/>
    </font>
    <font>
      <sz val="12"/>
      <name val="Calibri"/>
      <family val="2"/>
    </font>
    <font>
      <sz val="12"/>
      <color theme="1"/>
      <name val="Calibri"/>
      <family val="2"/>
      <scheme val="minor"/>
    </font>
    <font>
      <sz val="14"/>
      <color theme="1"/>
      <name val="AngsanaUPC"/>
      <family val="1"/>
      <charset val="222"/>
    </font>
    <font>
      <sz val="10"/>
      <color theme="1"/>
      <name val="Browallia New"/>
      <family val="2"/>
    </font>
    <font>
      <b/>
      <sz val="10"/>
      <color theme="1"/>
      <name val="Browallia New"/>
      <family val="2"/>
    </font>
    <font>
      <b/>
      <sz val="10"/>
      <color rgb="FF000000"/>
      <name val="Browallia New"/>
      <family val="2"/>
    </font>
    <font>
      <sz val="21"/>
      <color rgb="FF1F1F1F"/>
      <name val="Inherit"/>
    </font>
    <font>
      <b/>
      <sz val="15.5"/>
      <color theme="1"/>
      <name val="Angsana New"/>
      <family val="1"/>
      <charset val="222"/>
    </font>
    <font>
      <sz val="16"/>
      <color theme="1"/>
      <name val="Angsana New"/>
      <family val="1"/>
    </font>
    <font>
      <sz val="8"/>
      <name val="Calibri"/>
      <family val="2"/>
      <scheme val="minor"/>
    </font>
    <font>
      <b/>
      <sz val="14"/>
      <color theme="1"/>
      <name val="Angsana New"/>
      <family val="1"/>
      <charset val="222"/>
    </font>
    <font>
      <b/>
      <sz val="12"/>
      <color theme="1"/>
      <name val="Angsana New"/>
      <family val="1"/>
      <charset val="222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99">
    <xf numFmtId="0" fontId="0" fillId="0" borderId="0" xfId="0"/>
    <xf numFmtId="0" fontId="1" fillId="0" borderId="0" xfId="0" applyFont="1" applyAlignment="1">
      <alignment wrapText="1"/>
    </xf>
    <xf numFmtId="0" fontId="1" fillId="0" borderId="3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6" fillId="0" borderId="0" xfId="0" applyFont="1"/>
    <xf numFmtId="0" fontId="10" fillId="0" borderId="0" xfId="0" applyFont="1"/>
    <xf numFmtId="14" fontId="12" fillId="0" borderId="1" xfId="0" applyNumberFormat="1" applyFont="1" applyBorder="1" applyAlignment="1">
      <alignment horizontal="left" vertical="center"/>
    </xf>
    <xf numFmtId="0" fontId="14" fillId="0" borderId="0" xfId="0" applyFont="1"/>
    <xf numFmtId="0" fontId="15" fillId="0" borderId="0" xfId="0" applyFont="1"/>
    <xf numFmtId="14" fontId="12" fillId="0" borderId="6" xfId="0" applyNumberFormat="1" applyFont="1" applyBorder="1" applyAlignment="1">
      <alignment horizontal="left" vertical="center"/>
    </xf>
    <xf numFmtId="0" fontId="16" fillId="0" borderId="1" xfId="0" applyFont="1" applyBorder="1"/>
    <xf numFmtId="0" fontId="16" fillId="0" borderId="2" xfId="0" applyFont="1" applyBorder="1"/>
    <xf numFmtId="0" fontId="12" fillId="0" borderId="2" xfId="0" applyFont="1" applyBorder="1"/>
    <xf numFmtId="0" fontId="16" fillId="0" borderId="3" xfId="0" applyFont="1" applyBorder="1"/>
    <xf numFmtId="0" fontId="17" fillId="0" borderId="4" xfId="0" applyFont="1" applyBorder="1"/>
    <xf numFmtId="0" fontId="17" fillId="0" borderId="0" xfId="0" applyFont="1"/>
    <xf numFmtId="0" fontId="17" fillId="0" borderId="5" xfId="0" applyFont="1" applyBorder="1"/>
    <xf numFmtId="0" fontId="17" fillId="0" borderId="5" xfId="0" applyFont="1" applyBorder="1" applyAlignment="1">
      <alignment horizontal="right"/>
    </xf>
    <xf numFmtId="0" fontId="12" fillId="0" borderId="20" xfId="0" applyFont="1" applyBorder="1" applyAlignment="1">
      <alignment horizontal="center"/>
    </xf>
    <xf numFmtId="0" fontId="12" fillId="0" borderId="9" xfId="0" applyFont="1" applyBorder="1" applyAlignment="1">
      <alignment horizontal="center"/>
    </xf>
    <xf numFmtId="0" fontId="16" fillId="0" borderId="20" xfId="0" applyFont="1" applyBorder="1" applyAlignment="1">
      <alignment horizontal="center" vertical="center"/>
    </xf>
    <xf numFmtId="188" fontId="16" fillId="0" borderId="20" xfId="0" applyNumberFormat="1" applyFont="1" applyBorder="1" applyAlignment="1">
      <alignment horizontal="center" vertical="center"/>
    </xf>
    <xf numFmtId="187" fontId="16" fillId="0" borderId="20" xfId="0" applyNumberFormat="1" applyFont="1" applyBorder="1" applyAlignment="1">
      <alignment horizontal="center" vertical="center"/>
    </xf>
    <xf numFmtId="0" fontId="14" fillId="0" borderId="4" xfId="0" applyFont="1" applyBorder="1"/>
    <xf numFmtId="187" fontId="16" fillId="0" borderId="20" xfId="0" applyNumberFormat="1" applyFont="1" applyBorder="1" applyAlignment="1">
      <alignment horizontal="center"/>
    </xf>
    <xf numFmtId="189" fontId="12" fillId="0" borderId="22" xfId="0" applyNumberFormat="1" applyFont="1" applyBorder="1" applyAlignment="1">
      <alignment vertical="center"/>
    </xf>
    <xf numFmtId="0" fontId="18" fillId="0" borderId="20" xfId="0" applyFont="1" applyBorder="1"/>
    <xf numFmtId="0" fontId="18" fillId="0" borderId="4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189" fontId="12" fillId="0" borderId="0" xfId="0" applyNumberFormat="1" applyFont="1" applyAlignment="1">
      <alignment vertical="center"/>
    </xf>
    <xf numFmtId="0" fontId="18" fillId="0" borderId="5" xfId="0" applyFont="1" applyBorder="1"/>
    <xf numFmtId="0" fontId="12" fillId="0" borderId="4" xfId="0" applyFont="1" applyBorder="1" applyAlignment="1">
      <alignment horizontal="left"/>
    </xf>
    <xf numFmtId="0" fontId="12" fillId="0" borderId="0" xfId="0" applyFont="1" applyAlignment="1">
      <alignment horizontal="left"/>
    </xf>
    <xf numFmtId="0" fontId="12" fillId="0" borderId="0" xfId="0" applyFont="1" applyAlignment="1">
      <alignment vertical="center"/>
    </xf>
    <xf numFmtId="0" fontId="12" fillId="0" borderId="4" xfId="0" applyFont="1" applyBorder="1"/>
    <xf numFmtId="0" fontId="12" fillId="0" borderId="0" xfId="0" applyFont="1"/>
    <xf numFmtId="0" fontId="12" fillId="0" borderId="5" xfId="0" applyFont="1" applyBorder="1" applyAlignment="1">
      <alignment horizontal="left"/>
    </xf>
    <xf numFmtId="0" fontId="14" fillId="0" borderId="5" xfId="0" applyFont="1" applyBorder="1"/>
    <xf numFmtId="0" fontId="21" fillId="0" borderId="18" xfId="0" applyFont="1" applyBorder="1"/>
    <xf numFmtId="0" fontId="21" fillId="0" borderId="1" xfId="0" applyFont="1" applyBorder="1"/>
    <xf numFmtId="0" fontId="22" fillId="0" borderId="0" xfId="0" applyFont="1"/>
    <xf numFmtId="0" fontId="23" fillId="2" borderId="10" xfId="0" applyFont="1" applyFill="1" applyBorder="1"/>
    <xf numFmtId="0" fontId="23" fillId="2" borderId="11" xfId="0" applyFont="1" applyFill="1" applyBorder="1" applyAlignment="1">
      <alignment horizontal="center"/>
    </xf>
    <xf numFmtId="0" fontId="26" fillId="0" borderId="0" xfId="0" applyFont="1"/>
    <xf numFmtId="0" fontId="23" fillId="2" borderId="13" xfId="0" applyFont="1" applyFill="1" applyBorder="1"/>
    <xf numFmtId="188" fontId="23" fillId="2" borderId="14" xfId="0" applyNumberFormat="1" applyFont="1" applyFill="1" applyBorder="1" applyAlignment="1">
      <alignment horizontal="center"/>
    </xf>
    <xf numFmtId="0" fontId="23" fillId="2" borderId="16" xfId="0" applyFont="1" applyFill="1" applyBorder="1"/>
    <xf numFmtId="0" fontId="27" fillId="2" borderId="17" xfId="0" applyFont="1" applyFill="1" applyBorder="1" applyAlignment="1">
      <alignment horizontal="center"/>
    </xf>
    <xf numFmtId="0" fontId="23" fillId="0" borderId="2" xfId="0" applyFont="1" applyBorder="1" applyAlignment="1">
      <alignment vertical="top"/>
    </xf>
    <xf numFmtId="0" fontId="23" fillId="0" borderId="3" xfId="0" applyFont="1" applyBorder="1" applyAlignment="1">
      <alignment vertical="center"/>
    </xf>
    <xf numFmtId="0" fontId="23" fillId="0" borderId="0" xfId="0" applyFont="1"/>
    <xf numFmtId="0" fontId="23" fillId="0" borderId="0" xfId="0" applyFont="1" applyAlignment="1">
      <alignment vertical="top"/>
    </xf>
    <xf numFmtId="0" fontId="23" fillId="0" borderId="5" xfId="0" applyFont="1" applyBorder="1"/>
    <xf numFmtId="0" fontId="23" fillId="0" borderId="1" xfId="0" applyFont="1" applyBorder="1" applyAlignment="1">
      <alignment vertical="center" shrinkToFit="1"/>
    </xf>
    <xf numFmtId="0" fontId="23" fillId="0" borderId="9" xfId="0" applyFont="1" applyBorder="1" applyAlignment="1">
      <alignment horizontal="center" vertical="center" shrinkToFit="1"/>
    </xf>
    <xf numFmtId="0" fontId="23" fillId="0" borderId="7" xfId="0" applyFont="1" applyBorder="1"/>
    <xf numFmtId="0" fontId="23" fillId="0" borderId="8" xfId="0" applyFont="1" applyBorder="1"/>
    <xf numFmtId="0" fontId="23" fillId="0" borderId="6" xfId="0" applyFont="1" applyBorder="1" applyAlignment="1">
      <alignment horizontal="center" vertical="center"/>
    </xf>
    <xf numFmtId="188" fontId="27" fillId="0" borderId="15" xfId="0" applyNumberFormat="1" applyFont="1" applyBorder="1" applyAlignment="1">
      <alignment horizontal="center"/>
    </xf>
    <xf numFmtId="0" fontId="23" fillId="0" borderId="9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3" fillId="0" borderId="2" xfId="0" applyFont="1" applyBorder="1" applyAlignment="1">
      <alignment horizontal="left"/>
    </xf>
    <xf numFmtId="0" fontId="23" fillId="0" borderId="2" xfId="0" applyFont="1" applyBorder="1" applyAlignment="1">
      <alignment horizontal="center"/>
    </xf>
    <xf numFmtId="0" fontId="23" fillId="0" borderId="3" xfId="0" applyFont="1" applyBorder="1" applyAlignment="1">
      <alignment horizontal="center"/>
    </xf>
    <xf numFmtId="189" fontId="23" fillId="0" borderId="3" xfId="0" applyNumberFormat="1" applyFont="1" applyBorder="1" applyAlignment="1">
      <alignment horizontal="center"/>
    </xf>
    <xf numFmtId="0" fontId="23" fillId="0" borderId="15" xfId="0" applyFont="1" applyBorder="1" applyAlignment="1">
      <alignment horizontal="center"/>
    </xf>
    <xf numFmtId="0" fontId="23" fillId="0" borderId="6" xfId="0" applyFont="1" applyBorder="1"/>
    <xf numFmtId="0" fontId="23" fillId="0" borderId="8" xfId="0" applyFont="1" applyBorder="1" applyAlignment="1">
      <alignment horizontal="center"/>
    </xf>
    <xf numFmtId="189" fontId="23" fillId="0" borderId="8" xfId="0" applyNumberFormat="1" applyFont="1" applyBorder="1" applyAlignment="1">
      <alignment horizontal="center"/>
    </xf>
    <xf numFmtId="0" fontId="28" fillId="0" borderId="9" xfId="0" applyFont="1" applyBorder="1" applyAlignment="1">
      <alignment horizontal="center"/>
    </xf>
    <xf numFmtId="0" fontId="24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14" fontId="24" fillId="0" borderId="0" xfId="0" applyNumberFormat="1" applyFont="1" applyAlignment="1">
      <alignment horizontal="left" vertical="center"/>
    </xf>
    <xf numFmtId="0" fontId="28" fillId="0" borderId="0" xfId="0" applyFont="1" applyAlignment="1">
      <alignment horizontal="left" vertical="center"/>
    </xf>
    <xf numFmtId="0" fontId="28" fillId="0" borderId="5" xfId="0" applyFont="1" applyBorder="1" applyAlignment="1">
      <alignment horizontal="left" vertical="center"/>
    </xf>
    <xf numFmtId="189" fontId="28" fillId="0" borderId="5" xfId="0" applyNumberFormat="1" applyFont="1" applyBorder="1" applyAlignment="1">
      <alignment vertical="top"/>
    </xf>
    <xf numFmtId="0" fontId="28" fillId="0" borderId="12" xfId="0" applyFont="1" applyBorder="1" applyAlignment="1">
      <alignment horizontal="center"/>
    </xf>
    <xf numFmtId="0" fontId="24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0" fillId="0" borderId="12" xfId="0" applyFont="1" applyBorder="1" applyAlignment="1">
      <alignment horizontal="center" vertical="center"/>
    </xf>
    <xf numFmtId="0" fontId="30" fillId="0" borderId="0" xfId="0" applyFont="1"/>
    <xf numFmtId="0" fontId="30" fillId="0" borderId="0" xfId="0" applyFont="1" applyAlignment="1">
      <alignment horizontal="center"/>
    </xf>
    <xf numFmtId="0" fontId="30" fillId="0" borderId="5" xfId="0" applyFont="1" applyBorder="1" applyAlignment="1">
      <alignment horizontal="center"/>
    </xf>
    <xf numFmtId="189" fontId="30" fillId="0" borderId="5" xfId="0" applyNumberFormat="1" applyFont="1" applyBorder="1"/>
    <xf numFmtId="188" fontId="31" fillId="0" borderId="0" xfId="0" applyNumberFormat="1" applyFont="1" applyAlignment="1">
      <alignment horizontal="left"/>
    </xf>
    <xf numFmtId="0" fontId="31" fillId="0" borderId="0" xfId="0" applyFont="1"/>
    <xf numFmtId="0" fontId="32" fillId="0" borderId="0" xfId="0" applyFont="1" applyAlignment="1">
      <alignment horizontal="left"/>
    </xf>
    <xf numFmtId="0" fontId="30" fillId="0" borderId="12" xfId="0" applyFont="1" applyBorder="1" applyAlignment="1">
      <alignment horizontal="center"/>
    </xf>
    <xf numFmtId="0" fontId="30" fillId="0" borderId="5" xfId="0" applyFont="1" applyBorder="1"/>
    <xf numFmtId="0" fontId="30" fillId="0" borderId="15" xfId="0" applyFont="1" applyBorder="1"/>
    <xf numFmtId="0" fontId="30" fillId="0" borderId="6" xfId="0" applyFont="1" applyBorder="1"/>
    <xf numFmtId="0" fontId="30" fillId="0" borderId="7" xfId="0" applyFont="1" applyBorder="1"/>
    <xf numFmtId="0" fontId="30" fillId="0" borderId="8" xfId="0" applyFont="1" applyBorder="1"/>
    <xf numFmtId="189" fontId="30" fillId="0" borderId="8" xfId="0" applyNumberFormat="1" applyFont="1" applyBorder="1"/>
    <xf numFmtId="0" fontId="23" fillId="0" borderId="18" xfId="0" applyFont="1" applyBorder="1" applyAlignment="1">
      <alignment horizontal="center"/>
    </xf>
    <xf numFmtId="0" fontId="23" fillId="0" borderId="19" xfId="0" applyFont="1" applyBorder="1"/>
    <xf numFmtId="189" fontId="23" fillId="0" borderId="19" xfId="0" applyNumberFormat="1" applyFont="1" applyBorder="1"/>
    <xf numFmtId="0" fontId="23" fillId="0" borderId="4" xfId="0" applyFont="1" applyBorder="1"/>
    <xf numFmtId="0" fontId="23" fillId="0" borderId="3" xfId="0" applyFont="1" applyBorder="1"/>
    <xf numFmtId="189" fontId="23" fillId="0" borderId="5" xfId="0" applyNumberFormat="1" applyFont="1" applyBorder="1" applyAlignment="1">
      <alignment horizontal="right"/>
    </xf>
    <xf numFmtId="0" fontId="30" fillId="0" borderId="4" xfId="0" applyFont="1" applyBorder="1"/>
    <xf numFmtId="0" fontId="23" fillId="0" borderId="2" xfId="0" applyFont="1" applyBorder="1"/>
    <xf numFmtId="0" fontId="22" fillId="0" borderId="0" xfId="0" applyFont="1" applyAlignment="1">
      <alignment vertical="top" wrapText="1"/>
    </xf>
    <xf numFmtId="0" fontId="36" fillId="0" borderId="0" xfId="0" applyFont="1"/>
    <xf numFmtId="0" fontId="37" fillId="0" borderId="12" xfId="0" applyFont="1" applyBorder="1" applyAlignment="1">
      <alignment horizontal="center" vertical="center"/>
    </xf>
    <xf numFmtId="0" fontId="38" fillId="0" borderId="0" xfId="0" applyFont="1" applyAlignment="1">
      <alignment vertical="center"/>
    </xf>
    <xf numFmtId="0" fontId="39" fillId="0" borderId="0" xfId="0" applyFont="1" applyAlignment="1">
      <alignment horizontal="left" vertical="center"/>
    </xf>
    <xf numFmtId="0" fontId="37" fillId="0" borderId="0" xfId="0" applyFont="1"/>
    <xf numFmtId="0" fontId="37" fillId="0" borderId="0" xfId="0" applyFont="1" applyAlignment="1">
      <alignment horizontal="center"/>
    </xf>
    <xf numFmtId="0" fontId="37" fillId="0" borderId="5" xfId="0" applyFont="1" applyBorder="1" applyAlignment="1">
      <alignment horizontal="center"/>
    </xf>
    <xf numFmtId="189" fontId="37" fillId="0" borderId="5" xfId="0" applyNumberFormat="1" applyFont="1" applyBorder="1"/>
    <xf numFmtId="0" fontId="40" fillId="0" borderId="23" xfId="0" applyFont="1" applyBorder="1" applyAlignment="1">
      <alignment horizontal="left" vertical="center"/>
    </xf>
    <xf numFmtId="0" fontId="41" fillId="0" borderId="2" xfId="0" applyFont="1" applyBorder="1"/>
    <xf numFmtId="0" fontId="42" fillId="0" borderId="20" xfId="0" applyFont="1" applyBorder="1" applyAlignment="1">
      <alignment horizontal="center" vertical="center"/>
    </xf>
    <xf numFmtId="17" fontId="16" fillId="0" borderId="20" xfId="0" applyNumberFormat="1" applyFont="1" applyBorder="1" applyAlignment="1">
      <alignment horizontal="center" vertical="center"/>
    </xf>
    <xf numFmtId="0" fontId="20" fillId="0" borderId="2" xfId="0" applyFont="1" applyBorder="1"/>
    <xf numFmtId="0" fontId="20" fillId="0" borderId="7" xfId="0" applyFont="1" applyBorder="1"/>
    <xf numFmtId="0" fontId="14" fillId="0" borderId="13" xfId="0" applyFont="1" applyBorder="1"/>
    <xf numFmtId="0" fontId="18" fillId="0" borderId="13" xfId="0" applyFont="1" applyBorder="1" applyAlignment="1">
      <alignment horizontal="center" vertical="center" wrapText="1"/>
    </xf>
    <xf numFmtId="189" fontId="12" fillId="0" borderId="24" xfId="0" applyNumberFormat="1" applyFont="1" applyBorder="1" applyAlignment="1">
      <alignment vertical="center"/>
    </xf>
    <xf numFmtId="14" fontId="12" fillId="0" borderId="2" xfId="0" applyNumberFormat="1" applyFont="1" applyBorder="1" applyAlignment="1">
      <alignment horizontal="left" vertical="center"/>
    </xf>
    <xf numFmtId="14" fontId="12" fillId="0" borderId="7" xfId="0" applyNumberFormat="1" applyFont="1" applyBorder="1" applyAlignment="1">
      <alignment horizontal="left" vertical="center"/>
    </xf>
    <xf numFmtId="0" fontId="44" fillId="0" borderId="20" xfId="0" applyFont="1" applyBorder="1" applyAlignment="1">
      <alignment horizontal="center"/>
    </xf>
    <xf numFmtId="0" fontId="45" fillId="0" borderId="20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25" fillId="0" borderId="2" xfId="0" applyFont="1" applyBorder="1"/>
    <xf numFmtId="0" fontId="23" fillId="0" borderId="0" xfId="0" applyFont="1" applyAlignment="1">
      <alignment horizontal="left" vertical="top" wrapText="1"/>
    </xf>
    <xf numFmtId="0" fontId="26" fillId="0" borderId="0" xfId="0" applyFont="1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/>
    <xf numFmtId="0" fontId="3" fillId="0" borderId="4" xfId="0" applyFont="1" applyBorder="1"/>
    <xf numFmtId="0" fontId="0" fillId="0" borderId="0" xfId="0"/>
    <xf numFmtId="0" fontId="4" fillId="0" borderId="4" xfId="0" applyFont="1" applyBorder="1" applyAlignment="1">
      <alignment horizontal="center"/>
    </xf>
    <xf numFmtId="0" fontId="3" fillId="0" borderId="5" xfId="0" applyFont="1" applyBorder="1"/>
    <xf numFmtId="0" fontId="23" fillId="0" borderId="9" xfId="0" applyFont="1" applyBorder="1" applyAlignment="1">
      <alignment horizontal="center" vertical="center" wrapText="1"/>
    </xf>
    <xf numFmtId="0" fontId="25" fillId="0" borderId="12" xfId="0" applyFont="1" applyBorder="1"/>
    <xf numFmtId="0" fontId="25" fillId="0" borderId="15" xfId="0" applyFont="1" applyBorder="1"/>
    <xf numFmtId="0" fontId="33" fillId="0" borderId="2" xfId="0" applyFont="1" applyBorder="1" applyAlignment="1">
      <alignment horizontal="center" vertical="center" wrapText="1"/>
    </xf>
    <xf numFmtId="0" fontId="34" fillId="0" borderId="2" xfId="0" applyFont="1" applyBorder="1"/>
    <xf numFmtId="0" fontId="34" fillId="0" borderId="3" xfId="0" applyFont="1" applyBorder="1"/>
    <xf numFmtId="0" fontId="35" fillId="0" borderId="0" xfId="0" applyFont="1"/>
    <xf numFmtId="0" fontId="34" fillId="0" borderId="5" xfId="0" applyFont="1" applyBorder="1"/>
    <xf numFmtId="0" fontId="34" fillId="0" borderId="7" xfId="0" applyFont="1" applyBorder="1"/>
    <xf numFmtId="0" fontId="34" fillId="0" borderId="8" xfId="0" applyFont="1" applyBorder="1"/>
    <xf numFmtId="0" fontId="27" fillId="0" borderId="7" xfId="0" applyFont="1" applyBorder="1" applyAlignment="1">
      <alignment horizontal="left"/>
    </xf>
    <xf numFmtId="0" fontId="25" fillId="0" borderId="7" xfId="0" applyFont="1" applyBorder="1"/>
    <xf numFmtId="0" fontId="25" fillId="0" borderId="8" xfId="0" applyFont="1" applyBorder="1"/>
    <xf numFmtId="0" fontId="23" fillId="0" borderId="0" xfId="0" applyFont="1" applyAlignment="1">
      <alignment horizontal="center"/>
    </xf>
    <xf numFmtId="0" fontId="25" fillId="0" borderId="5" xfId="0" applyFont="1" applyBorder="1"/>
    <xf numFmtId="0" fontId="5" fillId="0" borderId="1" xfId="0" applyFont="1" applyBorder="1" applyAlignment="1">
      <alignment horizontal="center"/>
    </xf>
    <xf numFmtId="0" fontId="3" fillId="0" borderId="3" xfId="0" applyFont="1" applyBorder="1"/>
    <xf numFmtId="0" fontId="7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/>
    </xf>
    <xf numFmtId="0" fontId="9" fillId="0" borderId="4" xfId="0" applyFont="1" applyBorder="1" applyAlignment="1">
      <alignment horizontal="center" vertical="center"/>
    </xf>
    <xf numFmtId="0" fontId="3" fillId="0" borderId="6" xfId="0" applyFont="1" applyBorder="1"/>
    <xf numFmtId="0" fontId="3" fillId="0" borderId="7" xfId="0" applyFont="1" applyBorder="1"/>
    <xf numFmtId="0" fontId="3" fillId="0" borderId="8" xfId="0" applyFont="1" applyBorder="1"/>
    <xf numFmtId="0" fontId="19" fillId="0" borderId="2" xfId="0" applyFont="1" applyBorder="1" applyAlignment="1">
      <alignment horizontal="left" vertical="center"/>
    </xf>
    <xf numFmtId="0" fontId="20" fillId="0" borderId="2" xfId="0" applyFont="1" applyBorder="1"/>
    <xf numFmtId="0" fontId="20" fillId="0" borderId="7" xfId="0" applyFont="1" applyBorder="1"/>
    <xf numFmtId="188" fontId="12" fillId="0" borderId="3" xfId="0" applyNumberFormat="1" applyFont="1" applyBorder="1" applyAlignment="1">
      <alignment horizontal="center" vertical="center"/>
    </xf>
    <xf numFmtId="0" fontId="13" fillId="0" borderId="8" xfId="0" applyFont="1" applyBorder="1"/>
    <xf numFmtId="0" fontId="19" fillId="0" borderId="1" xfId="0" applyFont="1" applyBorder="1" applyAlignment="1">
      <alignment horizontal="right" vertical="center"/>
    </xf>
    <xf numFmtId="0" fontId="20" fillId="0" borderId="6" xfId="0" applyFont="1" applyBorder="1"/>
    <xf numFmtId="0" fontId="12" fillId="0" borderId="4" xfId="0" applyFont="1" applyBorder="1" applyAlignment="1">
      <alignment horizontal="center"/>
    </xf>
    <xf numFmtId="0" fontId="15" fillId="0" borderId="0" xfId="0" applyFont="1"/>
    <xf numFmtId="0" fontId="13" fillId="0" borderId="5" xfId="0" applyFont="1" applyBorder="1"/>
    <xf numFmtId="0" fontId="12" fillId="0" borderId="18" xfId="0" applyFont="1" applyBorder="1" applyAlignment="1">
      <alignment horizontal="center"/>
    </xf>
    <xf numFmtId="0" fontId="13" fillId="0" borderId="19" xfId="0" applyFont="1" applyBorder="1"/>
    <xf numFmtId="0" fontId="12" fillId="0" borderId="9" xfId="0" applyFont="1" applyBorder="1" applyAlignment="1">
      <alignment horizontal="center" vertical="center"/>
    </xf>
    <xf numFmtId="0" fontId="13" fillId="0" borderId="15" xfId="0" applyFont="1" applyBorder="1"/>
    <xf numFmtId="0" fontId="12" fillId="0" borderId="1" xfId="0" applyFont="1" applyBorder="1" applyAlignment="1">
      <alignment horizontal="center"/>
    </xf>
    <xf numFmtId="0" fontId="13" fillId="0" borderId="3" xfId="0" applyFont="1" applyBorder="1"/>
    <xf numFmtId="0" fontId="36" fillId="0" borderId="0" xfId="0" applyFont="1" applyAlignment="1">
      <alignment horizontal="left" vertical="top" wrapText="1"/>
    </xf>
    <xf numFmtId="0" fontId="18" fillId="0" borderId="2" xfId="0" applyFont="1" applyBorder="1" applyAlignment="1">
      <alignment horizontal="center" vertical="center" wrapText="1"/>
    </xf>
    <xf numFmtId="0" fontId="13" fillId="0" borderId="2" xfId="0" applyFont="1" applyBorder="1"/>
    <xf numFmtId="0" fontId="18" fillId="0" borderId="0" xfId="0" applyFont="1" applyAlignment="1">
      <alignment horizontal="center" vertical="center" wrapText="1"/>
    </xf>
    <xf numFmtId="0" fontId="12" fillId="0" borderId="4" xfId="0" applyFont="1" applyBorder="1" applyAlignment="1">
      <alignment horizontal="left"/>
    </xf>
    <xf numFmtId="0" fontId="16" fillId="0" borderId="18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3" fillId="0" borderId="21" xfId="0" applyFont="1" applyBorder="1"/>
    <xf numFmtId="0" fontId="12" fillId="0" borderId="0" xfId="0" applyFont="1" applyAlignment="1">
      <alignment horizontal="left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6" fillId="0" borderId="4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3" fillId="0" borderId="7" xfId="0" applyFont="1" applyBorder="1"/>
    <xf numFmtId="14" fontId="12" fillId="0" borderId="0" xfId="0" applyNumberFormat="1" applyFont="1" applyAlignment="1">
      <alignment horizontal="center"/>
    </xf>
    <xf numFmtId="0" fontId="13" fillId="0" borderId="12" xfId="0" applyFont="1" applyBorder="1"/>
    <xf numFmtId="0" fontId="16" fillId="0" borderId="18" xfId="0" applyFont="1" applyBorder="1" applyAlignment="1">
      <alignment horizontal="center" wrapText="1"/>
    </xf>
    <xf numFmtId="0" fontId="18" fillId="0" borderId="25" xfId="0" applyFont="1" applyBorder="1" applyAlignment="1">
      <alignment horizontal="center" vertical="center" wrapText="1"/>
    </xf>
    <xf numFmtId="0" fontId="13" fillId="0" borderId="26" xfId="0" applyFont="1" applyBorder="1"/>
    <xf numFmtId="0" fontId="1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0</xdr:row>
      <xdr:rowOff>133350</xdr:rowOff>
    </xdr:from>
    <xdr:ext cx="6762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476250</xdr:colOff>
      <xdr:row>0</xdr:row>
      <xdr:rowOff>0</xdr:rowOff>
    </xdr:from>
    <xdr:ext cx="1219200" cy="97155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4741163" y="3298988"/>
          <a:ext cx="1209675" cy="962025"/>
        </a:xfrm>
        <a:prstGeom prst="rect">
          <a:avLst/>
        </a:prstGeom>
        <a:solidFill>
          <a:srgbClr val="FFFF00">
            <a:alpha val="4823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Calibri"/>
            <a:buNone/>
          </a:pPr>
          <a:r>
            <a:rPr lang="en-US" sz="2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Y.K</a:t>
          </a:r>
          <a:r>
            <a:rPr lang="en-US" sz="2400" b="1" i="1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LOGISTICS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Co.ltd.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390525</xdr:colOff>
      <xdr:row>0</xdr:row>
      <xdr:rowOff>133350</xdr:rowOff>
    </xdr:from>
    <xdr:ext cx="676275" cy="695325"/>
    <xdr:pic>
      <xdr:nvPicPr>
        <xdr:cNvPr id="2" name="image1.jpg">
          <a:extLst>
            <a:ext uri="{FF2B5EF4-FFF2-40B4-BE49-F238E27FC236}">
              <a16:creationId xmlns:a16="http://schemas.microsoft.com/office/drawing/2014/main" id="{8BAC530E-5C8A-4176-8478-6F73AC21330C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038725" y="133350"/>
          <a:ext cx="676275" cy="695325"/>
        </a:xfrm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12</xdr:col>
      <xdr:colOff>476250</xdr:colOff>
      <xdr:row>0</xdr:row>
      <xdr:rowOff>0</xdr:rowOff>
    </xdr:from>
    <xdr:ext cx="1219200" cy="971550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4741163" y="3298988"/>
          <a:ext cx="1209675" cy="962025"/>
        </a:xfrm>
        <a:prstGeom prst="rect">
          <a:avLst/>
        </a:prstGeom>
        <a:solidFill>
          <a:srgbClr val="FFFF00">
            <a:alpha val="48235"/>
          </a:srgbClr>
        </a:solidFill>
        <a:ln w="9525" cap="flat" cmpd="sng">
          <a:solidFill>
            <a:srgbClr val="000000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2400"/>
            <a:buFont typeface="Calibri"/>
            <a:buNone/>
          </a:pPr>
          <a:r>
            <a:rPr lang="en-US" sz="2400" b="1" i="1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Y.K</a:t>
          </a:r>
          <a:r>
            <a:rPr lang="en-US" sz="2400" b="1" i="1" u="none" strike="noStrike">
              <a:solidFill>
                <a:srgbClr val="000000"/>
              </a:solidFill>
              <a:latin typeface="Times New Roman"/>
              <a:ea typeface="Times New Roman"/>
              <a:cs typeface="Times New Roman"/>
              <a:sym typeface="Times New Roman"/>
            </a:rPr>
            <a:t>.</a:t>
          </a:r>
          <a:endParaRPr sz="1400"/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LOGISTICS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rgbClr val="000000"/>
            </a:buClr>
            <a:buSzPts val="1200"/>
            <a:buFont typeface="Calibri"/>
            <a:buNone/>
          </a:pPr>
          <a:r>
            <a:rPr lang="en-US" sz="1200" b="1" i="0" u="none" strike="noStrike">
              <a:solidFill>
                <a:srgbClr val="000000"/>
              </a:solidFill>
              <a:latin typeface="Calibri"/>
              <a:ea typeface="Calibri"/>
              <a:cs typeface="Calibri"/>
              <a:sym typeface="Calibri"/>
            </a:rPr>
            <a:t>Co.ltd.</a:t>
          </a:r>
          <a:endParaRPr sz="12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  <a:p>
          <a:pPr marL="0" lvl="0" indent="0" algn="ctr" rtl="0">
            <a:spcBef>
              <a:spcPts val="0"/>
            </a:spcBef>
            <a:spcAft>
              <a:spcPts val="0"/>
            </a:spcAft>
            <a:buSzPts val="1100"/>
            <a:buFont typeface="Arial"/>
            <a:buNone/>
          </a:pPr>
          <a:endParaRPr sz="1100" b="1" i="0" u="none" strike="noStrike">
            <a:solidFill>
              <a:srgbClr val="000000"/>
            </a:solidFill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99"/>
  <sheetViews>
    <sheetView topLeftCell="A2" zoomScale="130" zoomScaleNormal="130" workbookViewId="0">
      <selection activeCell="B8" sqref="B8:H10"/>
    </sheetView>
  </sheetViews>
  <sheetFormatPr defaultColWidth="14.42578125" defaultRowHeight="15" customHeight="1"/>
  <cols>
    <col min="1" max="25" width="8.7109375" customWidth="1"/>
  </cols>
  <sheetData>
    <row r="1" spans="1:25" ht="14.25" customHeight="1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2"/>
      <c r="K1" s="1"/>
    </row>
    <row r="2" spans="1:25">
      <c r="A2" s="135"/>
      <c r="B2" s="136"/>
      <c r="C2" s="136"/>
      <c r="D2" s="136"/>
      <c r="E2" s="136"/>
      <c r="F2" s="136"/>
      <c r="G2" s="136"/>
      <c r="H2" s="136"/>
      <c r="I2" s="136"/>
      <c r="J2" s="3"/>
      <c r="K2" s="1"/>
    </row>
    <row r="3" spans="1:25">
      <c r="A3" s="135"/>
      <c r="B3" s="136"/>
      <c r="C3" s="136"/>
      <c r="D3" s="136"/>
      <c r="E3" s="136"/>
      <c r="F3" s="136"/>
      <c r="G3" s="136"/>
      <c r="H3" s="136"/>
      <c r="I3" s="136"/>
      <c r="J3" s="3"/>
      <c r="K3" s="1"/>
    </row>
    <row r="4" spans="1:25" ht="18" customHeight="1">
      <c r="A4" s="135"/>
      <c r="B4" s="136"/>
      <c r="C4" s="136"/>
      <c r="D4" s="136"/>
      <c r="E4" s="136"/>
      <c r="F4" s="136"/>
      <c r="G4" s="136"/>
      <c r="H4" s="136"/>
      <c r="I4" s="136"/>
      <c r="J4" s="3"/>
      <c r="K4" s="1"/>
    </row>
    <row r="5" spans="1:25">
      <c r="A5" s="135"/>
      <c r="B5" s="136"/>
      <c r="C5" s="136"/>
      <c r="D5" s="136"/>
      <c r="E5" s="136"/>
      <c r="F5" s="136"/>
      <c r="G5" s="136"/>
      <c r="H5" s="136"/>
      <c r="I5" s="136"/>
      <c r="J5" s="4"/>
      <c r="K5" s="5"/>
    </row>
    <row r="6" spans="1:25" ht="21">
      <c r="A6" s="137" t="s">
        <v>1</v>
      </c>
      <c r="B6" s="136"/>
      <c r="C6" s="136"/>
      <c r="D6" s="136"/>
      <c r="E6" s="136"/>
      <c r="F6" s="136"/>
      <c r="G6" s="136"/>
      <c r="H6" s="136"/>
      <c r="I6" s="136"/>
      <c r="J6" s="138"/>
    </row>
    <row r="7" spans="1:25">
      <c r="A7" s="6"/>
      <c r="B7" s="7"/>
      <c r="C7" s="7"/>
      <c r="D7" s="7"/>
      <c r="E7" s="7"/>
      <c r="F7" s="7"/>
      <c r="G7" s="7"/>
      <c r="H7" s="7"/>
      <c r="I7" s="7"/>
      <c r="J7" s="8"/>
    </row>
    <row r="8" spans="1:25" s="48" customFormat="1" ht="15" customHeight="1">
      <c r="A8" s="139" t="s">
        <v>2</v>
      </c>
      <c r="B8" s="142" t="str">
        <f>ค่าขนส่ง!C11</f>
        <v>CJ Logistics (Thailand) Co.,Ltd.</v>
      </c>
      <c r="C8" s="143"/>
      <c r="D8" s="143"/>
      <c r="E8" s="143"/>
      <c r="F8" s="143"/>
      <c r="G8" s="143"/>
      <c r="H8" s="144"/>
      <c r="I8" s="46"/>
      <c r="J8" s="47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spans="1:25" s="48" customFormat="1" ht="15" customHeight="1">
      <c r="A9" s="140"/>
      <c r="B9" s="145"/>
      <c r="C9" s="145"/>
      <c r="D9" s="145"/>
      <c r="E9" s="145"/>
      <c r="F9" s="145"/>
      <c r="G9" s="145"/>
      <c r="H9" s="146"/>
      <c r="I9" s="49" t="s">
        <v>3</v>
      </c>
      <c r="J9" s="50">
        <f>ค่าขนส่ง!K8</f>
        <v>46183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spans="1:25" s="48" customFormat="1" ht="15" customHeight="1">
      <c r="A10" s="141"/>
      <c r="B10" s="147"/>
      <c r="C10" s="147"/>
      <c r="D10" s="147"/>
      <c r="E10" s="147"/>
      <c r="F10" s="147"/>
      <c r="G10" s="147"/>
      <c r="H10" s="148"/>
      <c r="I10" s="51" t="s">
        <v>4</v>
      </c>
      <c r="J10" s="52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spans="1:25" s="48" customFormat="1" ht="15" customHeight="1">
      <c r="A11" s="139" t="s">
        <v>5</v>
      </c>
      <c r="B11" s="53" t="str">
        <f>ค่าขนส่ง!C12</f>
        <v>598 Q House Pleonchit Building, 16th Fl., Pleonchit rd., Lumphinee, Pathumwan, Bangkok 10330</v>
      </c>
      <c r="C11" s="53"/>
      <c r="D11" s="53"/>
      <c r="E11" s="53"/>
      <c r="F11" s="53"/>
      <c r="G11" s="53"/>
      <c r="H11" s="54"/>
      <c r="I11" s="55"/>
      <c r="J11" s="116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spans="1:25" s="48" customFormat="1" ht="15" customHeight="1">
      <c r="A12" s="140"/>
      <c r="B12" s="56" t="str">
        <f>ค่าขนส่ง!C13</f>
        <v>TAX ID : 0105547034923</v>
      </c>
      <c r="C12" s="56"/>
      <c r="D12" s="56"/>
      <c r="E12" s="56"/>
      <c r="F12" s="56"/>
      <c r="G12" s="56"/>
      <c r="H12" s="57"/>
      <c r="I12" s="58" t="s">
        <v>6</v>
      </c>
      <c r="J12" s="59" t="s">
        <v>7</v>
      </c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spans="1:25" s="48" customFormat="1" ht="15" customHeight="1">
      <c r="A13" s="141"/>
      <c r="B13" s="60"/>
      <c r="C13" s="60"/>
      <c r="D13" s="60"/>
      <c r="E13" s="60"/>
      <c r="F13" s="60"/>
      <c r="G13" s="60"/>
      <c r="H13" s="61"/>
      <c r="I13" s="62"/>
      <c r="J13" s="63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 spans="1:25" s="48" customFormat="1" ht="15" customHeight="1">
      <c r="A14" s="64" t="s">
        <v>8</v>
      </c>
      <c r="B14" s="65"/>
      <c r="C14" s="66" t="s">
        <v>9</v>
      </c>
      <c r="D14" s="67"/>
      <c r="E14" s="67"/>
      <c r="F14" s="67"/>
      <c r="G14" s="68"/>
      <c r="H14" s="68" t="s">
        <v>10</v>
      </c>
      <c r="I14" s="69" t="s">
        <v>11</v>
      </c>
      <c r="J14" s="64" t="s">
        <v>12</v>
      </c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spans="1:25" s="48" customFormat="1" ht="15" customHeight="1">
      <c r="A15" s="70" t="s">
        <v>13</v>
      </c>
      <c r="B15" s="71"/>
      <c r="C15" s="60" t="s">
        <v>14</v>
      </c>
      <c r="D15" s="60"/>
      <c r="E15" s="60"/>
      <c r="F15" s="60"/>
      <c r="G15" s="61"/>
      <c r="H15" s="72" t="s">
        <v>15</v>
      </c>
      <c r="I15" s="73" t="s">
        <v>16</v>
      </c>
      <c r="J15" s="70" t="s">
        <v>17</v>
      </c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 spans="1:25" s="48" customFormat="1" ht="15" customHeight="1">
      <c r="A16" s="74">
        <v>1</v>
      </c>
      <c r="B16" s="75" t="str">
        <f>ค่าขนส่ง!$G$8&amp;"  "&amp;ค่าขนส่ง!$G16&amp;"  "&amp;"ค่าขนส่ง"</f>
        <v>CJIV2606-001  HAIER APPLIANCES  ค่าขนส่ง</v>
      </c>
      <c r="C16" s="75"/>
      <c r="D16" s="76"/>
      <c r="E16" s="77"/>
      <c r="F16" s="78"/>
      <c r="G16" s="79"/>
      <c r="H16" s="80">
        <v>1</v>
      </c>
      <c r="I16" s="80">
        <f>ค่าขนส่ง!J26</f>
        <v>49800</v>
      </c>
      <c r="J16" s="80">
        <f>I16</f>
        <v>49800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spans="1:25" s="48" customFormat="1">
      <c r="A17" s="81"/>
      <c r="B17" s="82"/>
      <c r="C17" s="82"/>
      <c r="D17" s="83"/>
      <c r="E17" s="77"/>
      <c r="F17" s="78"/>
      <c r="G17" s="79"/>
      <c r="H17" s="80"/>
      <c r="I17" s="80"/>
      <c r="J17" s="80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 spans="1:25" s="48" customFormat="1" ht="15" customHeight="1">
      <c r="A18" s="109"/>
      <c r="B18" s="82"/>
      <c r="C18" s="110"/>
      <c r="D18" s="111"/>
      <c r="E18" s="112"/>
      <c r="F18" s="113"/>
      <c r="G18" s="114"/>
      <c r="H18" s="115"/>
      <c r="I18" s="115"/>
      <c r="J18" s="80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 spans="1:25" s="48" customFormat="1" ht="15" customHeight="1">
      <c r="A19" s="84"/>
      <c r="B19" s="89"/>
      <c r="C19" s="90"/>
      <c r="D19" s="91"/>
      <c r="E19" s="85"/>
      <c r="F19" s="86"/>
      <c r="G19" s="87"/>
      <c r="H19" s="88"/>
      <c r="I19" s="88"/>
      <c r="J19" s="88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spans="1:25" s="48" customFormat="1" ht="15" customHeight="1">
      <c r="A20" s="92"/>
      <c r="B20" s="89"/>
      <c r="C20" s="85"/>
      <c r="D20" s="89"/>
      <c r="E20" s="85"/>
      <c r="F20" s="85"/>
      <c r="G20" s="93"/>
      <c r="H20" s="88"/>
      <c r="I20" s="88"/>
      <c r="J20" s="88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spans="1:25" s="48" customFormat="1" ht="15" customHeight="1">
      <c r="A21" s="92"/>
      <c r="B21" s="89"/>
      <c r="C21" s="85"/>
      <c r="D21" s="89"/>
      <c r="E21" s="85"/>
      <c r="F21" s="85"/>
      <c r="G21" s="93"/>
      <c r="H21" s="88"/>
      <c r="I21" s="88"/>
      <c r="J21" s="88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spans="1:25" s="48" customFormat="1" ht="15" customHeight="1">
      <c r="A22" s="92"/>
      <c r="B22" s="89"/>
      <c r="C22" s="85"/>
      <c r="D22" s="89"/>
      <c r="E22" s="85"/>
      <c r="F22" s="85"/>
      <c r="G22" s="93"/>
      <c r="H22" s="88"/>
      <c r="I22" s="88"/>
      <c r="J22" s="88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spans="1:25" s="48" customFormat="1" ht="15" customHeight="1">
      <c r="A23" s="92"/>
      <c r="B23" s="89"/>
      <c r="C23" s="85"/>
      <c r="D23" s="85"/>
      <c r="E23" s="85"/>
      <c r="F23" s="85"/>
      <c r="G23" s="93"/>
      <c r="H23" s="88"/>
      <c r="I23" s="88"/>
      <c r="J23" s="88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 spans="1:25" s="48" customFormat="1" ht="15" customHeight="1">
      <c r="A24" s="84"/>
      <c r="B24" s="89"/>
      <c r="C24" s="90"/>
      <c r="D24" s="91"/>
      <c r="E24" s="85"/>
      <c r="F24" s="86"/>
      <c r="G24" s="87"/>
      <c r="H24" s="88"/>
      <c r="I24" s="88"/>
      <c r="J24" s="88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 spans="1:25" s="48" customFormat="1" ht="15" customHeight="1">
      <c r="A25" s="92"/>
      <c r="B25" s="89"/>
      <c r="C25" s="85"/>
      <c r="D25" s="89"/>
      <c r="E25" s="85"/>
      <c r="F25" s="85"/>
      <c r="G25" s="93"/>
      <c r="H25" s="88"/>
      <c r="I25" s="88"/>
      <c r="J25" s="88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 spans="1:25" s="48" customFormat="1" ht="15" customHeight="1">
      <c r="A26" s="92"/>
      <c r="B26" s="89"/>
      <c r="C26" s="85"/>
      <c r="D26" s="89"/>
      <c r="E26" s="85"/>
      <c r="F26" s="85"/>
      <c r="G26" s="93"/>
      <c r="H26" s="88"/>
      <c r="I26" s="88"/>
      <c r="J26" s="88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 spans="1:25" s="48" customFormat="1" ht="15" customHeight="1">
      <c r="A27" s="92"/>
      <c r="B27" s="89"/>
      <c r="C27" s="85"/>
      <c r="D27" s="89"/>
      <c r="E27" s="85"/>
      <c r="F27" s="85"/>
      <c r="G27" s="93"/>
      <c r="H27" s="88"/>
      <c r="I27" s="88"/>
      <c r="J27" s="88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spans="1:25" s="48" customFormat="1" ht="15" customHeight="1">
      <c r="A28" s="92"/>
      <c r="B28" s="89"/>
      <c r="C28" s="85"/>
      <c r="D28" s="85"/>
      <c r="E28" s="85"/>
      <c r="F28" s="85"/>
      <c r="G28" s="93"/>
      <c r="H28" s="88"/>
      <c r="I28" s="88"/>
      <c r="J28" s="88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spans="1:25" s="48" customFormat="1" ht="15" customHeight="1">
      <c r="A29" s="84"/>
      <c r="B29" s="89"/>
      <c r="C29" s="90"/>
      <c r="D29" s="91"/>
      <c r="E29" s="85"/>
      <c r="F29" s="86"/>
      <c r="G29" s="87"/>
      <c r="H29" s="88"/>
      <c r="I29" s="88"/>
      <c r="J29" s="8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</row>
    <row r="30" spans="1:25" s="48" customFormat="1" ht="15" customHeight="1">
      <c r="A30" s="92"/>
      <c r="B30" s="89"/>
      <c r="C30" s="85"/>
      <c r="D30" s="89"/>
      <c r="E30" s="85"/>
      <c r="F30" s="85"/>
      <c r="G30" s="93"/>
      <c r="H30" s="88"/>
      <c r="I30" s="88"/>
      <c r="J30" s="88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</row>
    <row r="31" spans="1:25" s="48" customFormat="1" ht="15" customHeight="1">
      <c r="A31" s="92"/>
      <c r="B31" s="89"/>
      <c r="C31" s="85"/>
      <c r="D31" s="89"/>
      <c r="E31" s="85"/>
      <c r="F31" s="85"/>
      <c r="G31" s="93"/>
      <c r="H31" s="88"/>
      <c r="I31" s="88"/>
      <c r="J31" s="88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</row>
    <row r="32" spans="1:25" s="48" customFormat="1" ht="15" customHeight="1">
      <c r="A32" s="92"/>
      <c r="B32" s="89"/>
      <c r="C32" s="85"/>
      <c r="D32" s="89"/>
      <c r="E32" s="85"/>
      <c r="F32" s="85"/>
      <c r="G32" s="93"/>
      <c r="H32" s="88"/>
      <c r="I32" s="88"/>
      <c r="J32" s="88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spans="1:25" s="48" customFormat="1" ht="15" customHeight="1">
      <c r="A33" s="92"/>
      <c r="B33" s="89"/>
      <c r="C33" s="85"/>
      <c r="D33" s="85"/>
      <c r="E33" s="85"/>
      <c r="F33" s="85"/>
      <c r="G33" s="93"/>
      <c r="H33" s="88"/>
      <c r="I33" s="88"/>
      <c r="J33" s="88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 spans="1:25" s="48" customFormat="1" ht="15" customHeight="1">
      <c r="A34" s="92"/>
      <c r="B34" s="89"/>
      <c r="C34" s="85"/>
      <c r="D34" s="85"/>
      <c r="E34" s="85"/>
      <c r="F34" s="85"/>
      <c r="G34" s="93"/>
      <c r="H34" s="88"/>
      <c r="I34" s="88"/>
      <c r="J34" s="88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spans="1:25" s="48" customFormat="1" ht="15" customHeight="1">
      <c r="A35" s="84"/>
      <c r="B35" s="89"/>
      <c r="C35" s="90"/>
      <c r="D35" s="85"/>
      <c r="E35" s="85"/>
      <c r="F35" s="85"/>
      <c r="G35" s="93"/>
      <c r="H35" s="88"/>
      <c r="I35" s="88"/>
      <c r="J35" s="88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 spans="1:25" s="48" customFormat="1" ht="15" customHeight="1">
      <c r="A36" s="94"/>
      <c r="B36" s="95"/>
      <c r="C36" s="96"/>
      <c r="D36" s="96"/>
      <c r="E36" s="96"/>
      <c r="F36" s="96"/>
      <c r="G36" s="97"/>
      <c r="H36" s="98"/>
      <c r="I36" s="98"/>
      <c r="J36" s="88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spans="1:25" s="48" customFormat="1" ht="15" customHeight="1">
      <c r="A37" s="99" t="s">
        <v>18</v>
      </c>
      <c r="B37" s="60"/>
      <c r="C37" s="149" t="str">
        <f>BAHTTEXT(J39)</f>
        <v>สี่หมื่นเก้าพันแปดร้อยบาทถ้วน</v>
      </c>
      <c r="D37" s="150"/>
      <c r="E37" s="150"/>
      <c r="F37" s="150"/>
      <c r="G37" s="151"/>
      <c r="H37" s="43" t="s">
        <v>19</v>
      </c>
      <c r="I37" s="100"/>
      <c r="J37" s="101">
        <f>SUM(J14:J36)</f>
        <v>49800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</row>
    <row r="38" spans="1:25" s="48" customFormat="1" ht="15" customHeight="1">
      <c r="A38" s="102"/>
      <c r="B38" s="55"/>
      <c r="C38" s="55"/>
      <c r="D38" s="55"/>
      <c r="E38" s="55"/>
      <c r="F38" s="55"/>
      <c r="G38" s="55"/>
      <c r="H38" s="44" t="s">
        <v>20</v>
      </c>
      <c r="I38" s="103"/>
      <c r="J38" s="104">
        <v>0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 spans="1:25" s="48" customFormat="1" ht="15" customHeight="1">
      <c r="A39" s="102"/>
      <c r="B39" s="55"/>
      <c r="C39" s="55"/>
      <c r="D39" s="55"/>
      <c r="E39" s="55"/>
      <c r="F39" s="55"/>
      <c r="G39" s="55"/>
      <c r="H39" s="43" t="s">
        <v>21</v>
      </c>
      <c r="I39" s="100"/>
      <c r="J39" s="101">
        <f>SUM(J37:J38)</f>
        <v>49800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 spans="1:25" s="48" customFormat="1" ht="15" customHeight="1">
      <c r="A40" s="105"/>
      <c r="B40" s="85"/>
      <c r="C40" s="85"/>
      <c r="D40" s="85"/>
      <c r="E40" s="85"/>
      <c r="F40" s="85"/>
      <c r="G40" s="85"/>
      <c r="H40" s="85"/>
      <c r="I40" s="85"/>
      <c r="J40" s="93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 spans="1:25" s="48" customFormat="1" ht="15" customHeight="1">
      <c r="A41" s="105"/>
      <c r="B41" s="85"/>
      <c r="C41" s="85"/>
      <c r="D41" s="85"/>
      <c r="E41" s="85"/>
      <c r="F41" s="85"/>
      <c r="G41" s="85"/>
      <c r="H41" s="85"/>
      <c r="I41" s="85"/>
      <c r="J41" s="93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 spans="1:25" s="48" customFormat="1" ht="15" customHeight="1">
      <c r="A42" s="95"/>
      <c r="B42" s="96"/>
      <c r="C42" s="96"/>
      <c r="D42" s="85"/>
      <c r="E42" s="96"/>
      <c r="F42" s="96"/>
      <c r="G42" s="96"/>
      <c r="H42" s="85"/>
      <c r="I42" s="96"/>
      <c r="J42" s="97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spans="1:25" s="48" customFormat="1" ht="15" customHeight="1">
      <c r="A43" s="129" t="s">
        <v>22</v>
      </c>
      <c r="B43" s="130"/>
      <c r="C43" s="130"/>
      <c r="D43" s="55"/>
      <c r="E43" s="55"/>
      <c r="F43" s="106" t="s">
        <v>23</v>
      </c>
      <c r="G43" s="106"/>
      <c r="H43" s="55"/>
      <c r="I43" s="152" t="s">
        <v>24</v>
      </c>
      <c r="J43" s="153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spans="1:25" s="48" customFormat="1" ht="15" customHeight="1">
      <c r="A44" s="105"/>
      <c r="B44" s="85"/>
      <c r="C44" s="85"/>
      <c r="D44" s="85"/>
      <c r="E44" s="85"/>
      <c r="F44" s="85"/>
      <c r="G44" s="85"/>
      <c r="H44" s="85"/>
      <c r="I44" s="85"/>
      <c r="J44" s="93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</row>
    <row r="45" spans="1:25" s="48" customFormat="1" ht="15" customHeight="1">
      <c r="A45" s="95"/>
      <c r="B45" s="96"/>
      <c r="C45" s="96"/>
      <c r="D45" s="96"/>
      <c r="E45" s="96"/>
      <c r="F45" s="96"/>
      <c r="G45" s="96"/>
      <c r="H45" s="96"/>
      <c r="I45" s="96"/>
      <c r="J45" s="97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</row>
    <row r="46" spans="1:25" s="48" customFormat="1" ht="15.75" customHeight="1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</row>
    <row r="47" spans="1:25" s="48" customFormat="1" ht="14.25" customHeight="1">
      <c r="A47" s="131" t="s">
        <v>25</v>
      </c>
      <c r="B47" s="132"/>
      <c r="C47" s="132"/>
      <c r="D47" s="132"/>
      <c r="E47" s="132"/>
      <c r="F47" s="132"/>
      <c r="G47" s="132"/>
      <c r="H47" s="132"/>
      <c r="I47" s="132"/>
      <c r="J47" s="132"/>
      <c r="K47" s="107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</row>
    <row r="48" spans="1:25" s="48" customFormat="1" ht="15.75" customHeight="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107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</row>
    <row r="49" spans="1:25" s="48" customFormat="1" ht="15.75" customHeight="1">
      <c r="A49" s="132"/>
      <c r="B49" s="132"/>
      <c r="C49" s="132"/>
      <c r="D49" s="132"/>
      <c r="E49" s="132"/>
      <c r="F49" s="132"/>
      <c r="G49" s="132"/>
      <c r="H49" s="132"/>
      <c r="I49" s="132"/>
      <c r="J49" s="132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</row>
    <row r="50" spans="1:25" s="48" customFormat="1" ht="15.75" customHeight="1"/>
    <row r="51" spans="1:25" ht="15.75" customHeight="1"/>
    <row r="52" spans="1:25" ht="15.75" customHeight="1"/>
    <row r="53" spans="1:25" ht="15.75" customHeight="1"/>
    <row r="54" spans="1:25" ht="15.75" customHeight="1"/>
    <row r="55" spans="1:25" ht="15.75" customHeight="1"/>
    <row r="56" spans="1:25" ht="15.75" customHeight="1"/>
    <row r="57" spans="1:25" ht="15.75" customHeight="1"/>
    <row r="58" spans="1:25" ht="15.75" customHeight="1"/>
    <row r="59" spans="1:25" ht="15.75" customHeight="1"/>
    <row r="60" spans="1:25" ht="15.75" customHeight="1"/>
    <row r="61" spans="1:25" ht="15.75" customHeight="1"/>
    <row r="62" spans="1:25" ht="15.75" customHeight="1"/>
    <row r="63" spans="1:25" ht="15.75" customHeight="1"/>
    <row r="64" spans="1:25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mergeCells count="9">
    <mergeCell ref="A43:C43"/>
    <mergeCell ref="A47:J49"/>
    <mergeCell ref="A1:I5"/>
    <mergeCell ref="A6:J6"/>
    <mergeCell ref="A8:A10"/>
    <mergeCell ref="B8:H10"/>
    <mergeCell ref="A11:A13"/>
    <mergeCell ref="C37:G37"/>
    <mergeCell ref="I43:J43"/>
  </mergeCells>
  <printOptions horizontalCentered="1"/>
  <pageMargins left="0.11811023622047245" right="0.23622047244094491" top="0.74803149606299213" bottom="0.74803149606299213" header="0" footer="0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00FF"/>
    <pageSetUpPr fitToPage="1"/>
  </sheetPr>
  <dimension ref="A1:AC994"/>
  <sheetViews>
    <sheetView topLeftCell="A12" zoomScale="120" zoomScaleNormal="120" workbookViewId="0">
      <selection activeCell="J16" sqref="J16:J21"/>
    </sheetView>
  </sheetViews>
  <sheetFormatPr defaultColWidth="14.42578125" defaultRowHeight="15" customHeight="1"/>
  <cols>
    <col min="1" max="1" width="6.140625" customWidth="1"/>
    <col min="2" max="2" width="10.42578125" customWidth="1"/>
    <col min="3" max="3" width="12.28515625" customWidth="1"/>
    <col min="4" max="4" width="17.42578125" customWidth="1"/>
    <col min="5" max="5" width="8.140625" customWidth="1"/>
    <col min="6" max="6" width="11.85546875" customWidth="1"/>
    <col min="7" max="7" width="20.28515625" customWidth="1"/>
    <col min="8" max="8" width="19" customWidth="1"/>
    <col min="9" max="9" width="12.42578125" customWidth="1"/>
    <col min="10" max="10" width="14" customWidth="1"/>
    <col min="11" max="11" width="13.42578125" customWidth="1"/>
    <col min="12" max="29" width="9" customWidth="1"/>
  </cols>
  <sheetData>
    <row r="1" spans="1:29" ht="24.75" customHeight="1">
      <c r="A1" s="154" t="s">
        <v>26</v>
      </c>
      <c r="B1" s="134"/>
      <c r="C1" s="134"/>
      <c r="D1" s="134"/>
      <c r="E1" s="134"/>
      <c r="F1" s="134"/>
      <c r="G1" s="134"/>
      <c r="H1" s="134"/>
      <c r="I1" s="134"/>
      <c r="J1" s="134"/>
      <c r="K1" s="155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</row>
    <row r="2" spans="1:29" ht="24.75" customHeight="1">
      <c r="A2" s="156" t="s">
        <v>27</v>
      </c>
      <c r="B2" s="136"/>
      <c r="C2" s="136"/>
      <c r="D2" s="136"/>
      <c r="E2" s="136"/>
      <c r="F2" s="136"/>
      <c r="G2" s="136"/>
      <c r="H2" s="136"/>
      <c r="I2" s="136"/>
      <c r="J2" s="136"/>
      <c r="K2" s="138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3" spans="1:29" ht="19.5" customHeight="1">
      <c r="A3" s="157" t="s">
        <v>28</v>
      </c>
      <c r="B3" s="136"/>
      <c r="C3" s="136"/>
      <c r="D3" s="136"/>
      <c r="E3" s="136"/>
      <c r="F3" s="136"/>
      <c r="G3" s="136"/>
      <c r="H3" s="136"/>
      <c r="I3" s="136"/>
      <c r="J3" s="136"/>
      <c r="K3" s="138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</row>
    <row r="4" spans="1:29" ht="19.5" customHeight="1">
      <c r="A4" s="158" t="s">
        <v>29</v>
      </c>
      <c r="B4" s="136"/>
      <c r="C4" s="136"/>
      <c r="D4" s="136"/>
      <c r="E4" s="136"/>
      <c r="F4" s="136"/>
      <c r="G4" s="136"/>
      <c r="H4" s="136"/>
      <c r="I4" s="136"/>
      <c r="J4" s="136"/>
      <c r="K4" s="138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</row>
    <row r="5" spans="1:29" ht="19.5" customHeight="1">
      <c r="A5" s="159" t="s">
        <v>30</v>
      </c>
      <c r="B5" s="136"/>
      <c r="C5" s="136"/>
      <c r="D5" s="136"/>
      <c r="E5" s="136"/>
      <c r="F5" s="136"/>
      <c r="G5" s="136"/>
      <c r="H5" s="136"/>
      <c r="I5" s="136"/>
      <c r="J5" s="136"/>
      <c r="K5" s="138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spans="1:29" ht="24.75" customHeight="1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8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spans="1:29" ht="24.75" customHeight="1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2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spans="1:29" s="13" customFormat="1" ht="21" customHeight="1">
      <c r="A8" s="168" t="s">
        <v>31</v>
      </c>
      <c r="B8" s="164"/>
      <c r="C8" s="164"/>
      <c r="D8" s="164"/>
      <c r="E8" s="164"/>
      <c r="F8" s="164"/>
      <c r="G8" s="163" t="s">
        <v>77</v>
      </c>
      <c r="H8" s="164"/>
      <c r="I8" s="164"/>
      <c r="J8" s="11" t="s">
        <v>32</v>
      </c>
      <c r="K8" s="166">
        <v>46183</v>
      </c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</row>
    <row r="9" spans="1:29" s="13" customFormat="1" ht="26.25" customHeight="1">
      <c r="A9" s="169"/>
      <c r="B9" s="165"/>
      <c r="C9" s="165"/>
      <c r="D9" s="165"/>
      <c r="E9" s="165"/>
      <c r="F9" s="165"/>
      <c r="G9" s="165"/>
      <c r="H9" s="165"/>
      <c r="I9" s="165"/>
      <c r="J9" s="14" t="s">
        <v>33</v>
      </c>
      <c r="K9" s="167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</row>
    <row r="10" spans="1:29" s="13" customFormat="1" ht="24.75" customHeight="1">
      <c r="A10" s="170"/>
      <c r="B10" s="171"/>
      <c r="C10" s="171"/>
      <c r="D10" s="171"/>
      <c r="E10" s="171"/>
      <c r="F10" s="171"/>
      <c r="G10" s="171"/>
      <c r="H10" s="171"/>
      <c r="I10" s="171"/>
      <c r="J10" s="171"/>
      <c r="K10" s="17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</row>
    <row r="11" spans="1:29" s="13" customFormat="1" ht="24.75" customHeight="1">
      <c r="A11" s="15" t="s">
        <v>34</v>
      </c>
      <c r="B11" s="16"/>
      <c r="C11" s="117" t="s">
        <v>61</v>
      </c>
      <c r="D11" s="16"/>
      <c r="E11" s="16"/>
      <c r="F11" s="16"/>
      <c r="G11" s="16"/>
      <c r="H11" s="16"/>
      <c r="I11" s="16"/>
      <c r="J11" s="16"/>
      <c r="K11" s="18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</row>
    <row r="12" spans="1:29" s="13" customFormat="1" ht="23.25" customHeight="1">
      <c r="A12" s="19" t="s">
        <v>35</v>
      </c>
      <c r="B12" s="20"/>
      <c r="C12" s="179" t="s">
        <v>62</v>
      </c>
      <c r="D12" s="179"/>
      <c r="E12" s="179"/>
      <c r="F12" s="179"/>
      <c r="G12" s="179"/>
      <c r="H12" s="20"/>
      <c r="I12" s="20"/>
      <c r="J12" s="20"/>
      <c r="K12" s="21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</row>
    <row r="13" spans="1:29" s="13" customFormat="1" ht="19.5" customHeight="1">
      <c r="A13" s="19" t="s">
        <v>36</v>
      </c>
      <c r="B13" s="20"/>
      <c r="C13" s="108" t="s">
        <v>63</v>
      </c>
      <c r="D13" s="20"/>
      <c r="E13" s="20"/>
      <c r="F13" s="20"/>
      <c r="G13" s="20"/>
      <c r="H13" s="20"/>
      <c r="I13" s="20"/>
      <c r="J13" s="20"/>
      <c r="K13" s="22" t="s">
        <v>60</v>
      </c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</row>
    <row r="14" spans="1:29" s="13" customFormat="1" ht="21.75" customHeight="1">
      <c r="A14" s="23" t="s">
        <v>37</v>
      </c>
      <c r="B14" s="173" t="s">
        <v>38</v>
      </c>
      <c r="C14" s="174"/>
      <c r="D14" s="175" t="s">
        <v>39</v>
      </c>
      <c r="E14" s="175" t="s">
        <v>40</v>
      </c>
      <c r="F14" s="23" t="s">
        <v>41</v>
      </c>
      <c r="G14" s="175" t="s">
        <v>42</v>
      </c>
      <c r="H14" s="175" t="s">
        <v>43</v>
      </c>
      <c r="I14" s="23" t="s">
        <v>44</v>
      </c>
      <c r="J14" s="23" t="s">
        <v>12</v>
      </c>
      <c r="K14" s="23" t="s">
        <v>45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</row>
    <row r="15" spans="1:29" s="13" customFormat="1" ht="21.75" customHeight="1">
      <c r="A15" s="24" t="s">
        <v>46</v>
      </c>
      <c r="B15" s="177" t="s">
        <v>47</v>
      </c>
      <c r="C15" s="178"/>
      <c r="D15" s="176"/>
      <c r="E15" s="176"/>
      <c r="F15" s="23" t="s">
        <v>48</v>
      </c>
      <c r="G15" s="176"/>
      <c r="H15" s="176"/>
      <c r="I15" s="24" t="s">
        <v>33</v>
      </c>
      <c r="J15" s="24" t="s">
        <v>49</v>
      </c>
      <c r="K15" s="24" t="s">
        <v>50</v>
      </c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</row>
    <row r="16" spans="1:29" s="13" customFormat="1" ht="21.75" customHeight="1">
      <c r="A16" s="25">
        <v>1</v>
      </c>
      <c r="B16" s="184" t="s">
        <v>64</v>
      </c>
      <c r="C16" s="174"/>
      <c r="D16" s="118" t="s">
        <v>82</v>
      </c>
      <c r="E16" s="25">
        <v>40</v>
      </c>
      <c r="F16" s="119" t="s">
        <v>75</v>
      </c>
      <c r="G16" s="25" t="s">
        <v>59</v>
      </c>
      <c r="H16" s="25" t="s">
        <v>78</v>
      </c>
      <c r="I16" s="26">
        <v>46178</v>
      </c>
      <c r="J16" s="27">
        <v>8300</v>
      </c>
      <c r="K16" s="25" t="s">
        <v>58</v>
      </c>
      <c r="L16" s="28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</row>
    <row r="17" spans="1:29" s="13" customFormat="1" ht="21.75" customHeight="1">
      <c r="A17" s="25">
        <v>2</v>
      </c>
      <c r="B17" s="184" t="s">
        <v>64</v>
      </c>
      <c r="C17" s="174"/>
      <c r="D17" s="118" t="s">
        <v>83</v>
      </c>
      <c r="E17" s="25">
        <v>40</v>
      </c>
      <c r="F17" s="119" t="s">
        <v>88</v>
      </c>
      <c r="G17" s="25" t="s">
        <v>59</v>
      </c>
      <c r="H17" s="25" t="s">
        <v>79</v>
      </c>
      <c r="I17" s="26">
        <v>46178</v>
      </c>
      <c r="J17" s="27">
        <v>8300</v>
      </c>
      <c r="K17" s="25" t="s">
        <v>58</v>
      </c>
      <c r="L17" s="12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</row>
    <row r="18" spans="1:29" s="13" customFormat="1" ht="21.75" customHeight="1">
      <c r="A18" s="25">
        <v>3</v>
      </c>
      <c r="B18" s="184" t="s">
        <v>64</v>
      </c>
      <c r="C18" s="174"/>
      <c r="D18" s="118" t="s">
        <v>84</v>
      </c>
      <c r="E18" s="25">
        <v>40</v>
      </c>
      <c r="F18" s="119" t="s">
        <v>65</v>
      </c>
      <c r="G18" s="25" t="s">
        <v>59</v>
      </c>
      <c r="H18" s="25" t="s">
        <v>78</v>
      </c>
      <c r="I18" s="26">
        <v>46178</v>
      </c>
      <c r="J18" s="27">
        <v>8300</v>
      </c>
      <c r="K18" s="25" t="s">
        <v>58</v>
      </c>
      <c r="L18" s="12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</row>
    <row r="19" spans="1:29" s="13" customFormat="1" ht="21.75" customHeight="1">
      <c r="A19" s="25">
        <v>4</v>
      </c>
      <c r="B19" s="184" t="s">
        <v>76</v>
      </c>
      <c r="C19" s="174"/>
      <c r="D19" s="118" t="s">
        <v>85</v>
      </c>
      <c r="E19" s="25">
        <v>40</v>
      </c>
      <c r="F19" s="119" t="s">
        <v>75</v>
      </c>
      <c r="G19" s="25" t="s">
        <v>59</v>
      </c>
      <c r="H19" s="25" t="s">
        <v>80</v>
      </c>
      <c r="I19" s="26">
        <v>46179</v>
      </c>
      <c r="J19" s="27">
        <v>8300</v>
      </c>
      <c r="K19" s="25" t="s">
        <v>58</v>
      </c>
      <c r="L19" s="12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</row>
    <row r="20" spans="1:29" s="13" customFormat="1" ht="21.75" customHeight="1">
      <c r="A20" s="25">
        <v>5</v>
      </c>
      <c r="B20" s="184" t="s">
        <v>64</v>
      </c>
      <c r="C20" s="174"/>
      <c r="D20" s="118" t="s">
        <v>86</v>
      </c>
      <c r="E20" s="25">
        <v>20</v>
      </c>
      <c r="F20" s="119" t="s">
        <v>89</v>
      </c>
      <c r="G20" s="25" t="s">
        <v>59</v>
      </c>
      <c r="H20" s="25" t="s">
        <v>81</v>
      </c>
      <c r="I20" s="26">
        <v>46179</v>
      </c>
      <c r="J20" s="27">
        <v>8300</v>
      </c>
      <c r="K20" s="25" t="s">
        <v>58</v>
      </c>
      <c r="L20" s="12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</row>
    <row r="21" spans="1:29" s="13" customFormat="1" ht="21.75" customHeight="1">
      <c r="A21" s="25">
        <v>6</v>
      </c>
      <c r="B21" s="184" t="s">
        <v>76</v>
      </c>
      <c r="C21" s="174"/>
      <c r="D21" s="118" t="s">
        <v>87</v>
      </c>
      <c r="E21" s="25">
        <v>40</v>
      </c>
      <c r="F21" s="119" t="s">
        <v>90</v>
      </c>
      <c r="G21" s="25" t="s">
        <v>59</v>
      </c>
      <c r="H21" s="25" t="s">
        <v>80</v>
      </c>
      <c r="I21" s="26">
        <v>46179</v>
      </c>
      <c r="J21" s="27">
        <v>8300</v>
      </c>
      <c r="K21" s="25" t="s">
        <v>58</v>
      </c>
      <c r="L21" s="12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</row>
    <row r="22" spans="1:29" s="13" customFormat="1" ht="21.75" customHeight="1">
      <c r="A22" s="25"/>
      <c r="B22" s="184"/>
      <c r="C22" s="174"/>
      <c r="D22" s="118"/>
      <c r="E22" s="25"/>
      <c r="F22" s="119"/>
      <c r="G22" s="25"/>
      <c r="H22" s="25"/>
      <c r="I22" s="26"/>
      <c r="J22" s="27"/>
      <c r="K22" s="25"/>
      <c r="L22" s="12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</row>
    <row r="23" spans="1:29" s="13" customFormat="1" ht="21.75" customHeight="1">
      <c r="A23" s="25"/>
      <c r="B23" s="184"/>
      <c r="C23" s="174"/>
      <c r="D23" s="118"/>
      <c r="E23" s="25"/>
      <c r="F23" s="119"/>
      <c r="G23" s="25"/>
      <c r="H23" s="25"/>
      <c r="I23" s="26"/>
      <c r="J23" s="27"/>
      <c r="K23" s="25"/>
      <c r="L23" s="12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</row>
    <row r="24" spans="1:29" s="13" customFormat="1" ht="24" customHeight="1">
      <c r="A24" s="25"/>
      <c r="B24" s="184"/>
      <c r="C24" s="174"/>
      <c r="D24" s="118"/>
      <c r="E24" s="25"/>
      <c r="F24" s="119"/>
      <c r="G24" s="25"/>
      <c r="H24" s="25"/>
      <c r="I24" s="26"/>
      <c r="J24" s="27"/>
      <c r="K24" s="25"/>
      <c r="L24" s="28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</row>
    <row r="25" spans="1:29" s="13" customFormat="1" ht="24" customHeight="1">
      <c r="A25" s="25"/>
      <c r="B25" s="184"/>
      <c r="C25" s="174"/>
      <c r="D25" s="118"/>
      <c r="E25" s="25"/>
      <c r="F25" s="119"/>
      <c r="G25" s="25"/>
      <c r="H25" s="25"/>
      <c r="I25" s="26"/>
      <c r="J25" s="27"/>
      <c r="K25" s="25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</row>
    <row r="26" spans="1:29" s="13" customFormat="1" ht="24" customHeight="1" thickBot="1">
      <c r="A26" s="185" t="str">
        <f>BAHTTEXT(J26)</f>
        <v>สี่หมื่นเก้าพันแปดร้อยบาทถ้วน</v>
      </c>
      <c r="B26" s="186"/>
      <c r="C26" s="186"/>
      <c r="D26" s="186"/>
      <c r="E26" s="186"/>
      <c r="F26" s="186"/>
      <c r="G26" s="186"/>
      <c r="H26" s="186"/>
      <c r="I26" s="186"/>
      <c r="J26" s="30">
        <f>SUM(J16:J25)</f>
        <v>49800</v>
      </c>
      <c r="K26" s="31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</row>
    <row r="27" spans="1:29" s="13" customFormat="1" ht="16.5" customHeight="1">
      <c r="A27" s="32"/>
      <c r="B27" s="180"/>
      <c r="C27" s="181"/>
      <c r="D27" s="33"/>
      <c r="E27" s="33"/>
      <c r="F27" s="33"/>
      <c r="G27" s="33"/>
      <c r="H27" s="33"/>
      <c r="I27" s="33"/>
      <c r="J27" s="34"/>
      <c r="K27" s="35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</row>
    <row r="28" spans="1:29" s="13" customFormat="1" ht="16.5" customHeight="1">
      <c r="A28" s="32"/>
      <c r="B28" s="182"/>
      <c r="C28" s="171"/>
      <c r="D28" s="33"/>
      <c r="E28" s="33"/>
      <c r="F28" s="33"/>
      <c r="G28" s="33"/>
      <c r="H28" s="33"/>
      <c r="I28" s="33"/>
      <c r="J28" s="34"/>
      <c r="K28" s="35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</row>
    <row r="29" spans="1:29" s="13" customFormat="1" ht="16.5" customHeight="1">
      <c r="A29" s="32"/>
      <c r="B29" s="182"/>
      <c r="C29" s="171"/>
      <c r="D29" s="33"/>
      <c r="E29" s="33"/>
      <c r="F29" s="33"/>
      <c r="G29" s="33"/>
      <c r="H29" s="33"/>
      <c r="I29" s="33"/>
      <c r="J29" s="34"/>
      <c r="K29" s="35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</row>
    <row r="30" spans="1:29" s="13" customFormat="1" ht="23.25" customHeight="1">
      <c r="A30" s="183" t="s">
        <v>51</v>
      </c>
      <c r="B30" s="171"/>
      <c r="C30" s="171"/>
      <c r="D30" s="171"/>
      <c r="E30" s="37"/>
      <c r="F30" s="12"/>
      <c r="G30" s="12"/>
      <c r="H30" s="12"/>
      <c r="I30" s="12"/>
      <c r="J30" s="187"/>
      <c r="K30" s="172"/>
      <c r="L30" s="38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</row>
    <row r="31" spans="1:29" s="13" customFormat="1" ht="45" customHeight="1">
      <c r="A31" s="39" t="s">
        <v>52</v>
      </c>
      <c r="B31" s="193">
        <f>K8</f>
        <v>46183</v>
      </c>
      <c r="C31" s="171"/>
      <c r="D31" s="40"/>
      <c r="E31" s="40"/>
      <c r="F31" s="40"/>
      <c r="G31" s="40"/>
      <c r="H31" s="40"/>
      <c r="I31" s="40"/>
      <c r="J31" s="187"/>
      <c r="K31" s="172"/>
      <c r="L31" s="38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</row>
    <row r="32" spans="1:29" s="13" customFormat="1" ht="20.25" customHeight="1">
      <c r="A32" s="36"/>
      <c r="B32" s="188"/>
      <c r="C32" s="171"/>
      <c r="D32" s="37"/>
      <c r="E32" s="37"/>
      <c r="F32" s="40"/>
      <c r="G32" s="40"/>
      <c r="H32" s="40"/>
      <c r="I32" s="40"/>
      <c r="J32" s="37"/>
      <c r="K32" s="41"/>
      <c r="L32" s="38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</row>
    <row r="33" spans="1:29" s="13" customFormat="1" ht="13.5" customHeight="1">
      <c r="A33" s="39"/>
      <c r="B33" s="189"/>
      <c r="C33" s="171"/>
      <c r="D33" s="12"/>
      <c r="E33" s="12"/>
      <c r="F33" s="12"/>
      <c r="G33" s="12"/>
      <c r="H33" s="12"/>
      <c r="I33" s="12"/>
      <c r="J33" s="12"/>
      <c r="K33" s="4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</row>
    <row r="34" spans="1:29" s="13" customFormat="1" ht="21" customHeight="1">
      <c r="A34" s="190" t="s">
        <v>57</v>
      </c>
      <c r="B34" s="171"/>
      <c r="C34" s="171"/>
      <c r="D34" s="171"/>
      <c r="E34" s="171"/>
      <c r="F34" s="171"/>
      <c r="G34" s="171"/>
      <c r="H34" s="171"/>
      <c r="I34" s="171"/>
      <c r="J34" s="171"/>
      <c r="K34" s="17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</row>
    <row r="35" spans="1:29" s="13" customFormat="1" ht="21.75" customHeight="1">
      <c r="A35" s="191" t="s">
        <v>53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67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</row>
    <row r="36" spans="1:29" ht="21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 spans="1:29" ht="21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 spans="1:29" ht="21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 spans="1:29" ht="21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 spans="1:29" ht="21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 spans="1:29" ht="21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 spans="1:29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 spans="1:29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 spans="1:29" ht="2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 spans="1:29" ht="2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 spans="1:29" ht="2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 spans="1:29" ht="2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 spans="1:29" ht="2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 spans="1:29" ht="2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 spans="1:29" ht="2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 spans="1:29" ht="2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 spans="1:29" ht="2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 spans="1:29" ht="2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 spans="1:29" ht="2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 spans="1:29" ht="2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 spans="1:29" ht="2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 spans="1:29" ht="2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 spans="1:29" ht="2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 spans="1:29" ht="2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 spans="1:29" ht="2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 spans="1:29" ht="2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 spans="1:29" ht="2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 spans="1:29" ht="2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 spans="1:29" ht="2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 spans="1:29" ht="2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 spans="1:29" ht="2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 spans="1:29" ht="2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 spans="1:29" ht="2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 spans="1:29" ht="2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 spans="1:29" ht="2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 spans="1:29" ht="2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 spans="1:29" ht="2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 spans="1:29" ht="2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 spans="1:29" ht="2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 spans="1:29" ht="2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 spans="1:29" ht="2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 spans="1:29" ht="2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 spans="1:29" ht="2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 spans="1:29" ht="2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 spans="1:29" ht="2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 spans="1:29" ht="2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 spans="1:29" ht="2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 spans="1:29" ht="2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 spans="1:29" ht="2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 spans="1:29" ht="2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 spans="1:29" ht="2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 spans="1:29" ht="2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 spans="1:29" ht="2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 spans="1:29" ht="2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 spans="1:29" ht="2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 spans="1:29" ht="2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 spans="1:29" ht="2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 spans="1:29" ht="2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 spans="1:29" ht="2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 spans="1:29" ht="2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 spans="1:29" ht="2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 spans="1:29" ht="2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 spans="1:29" ht="2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 spans="1:29" ht="2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 spans="1:29" ht="2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 spans="1:29" ht="2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 spans="1:29" ht="2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 spans="1:29" ht="2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 spans="1:29" ht="2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 spans="1:29" ht="2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 spans="1:29" ht="2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 spans="1:29" ht="2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 spans="1:29" ht="2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 spans="1:29" ht="2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 spans="1:29" ht="2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 spans="1:29" ht="2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 spans="1:29" ht="2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 spans="1:29" ht="2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 spans="1:29" ht="2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 spans="1:29" ht="2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 spans="1:29" ht="2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 spans="1:29" ht="2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 spans="1:29" ht="2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 spans="1:29" ht="2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 spans="1:29" ht="2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 spans="1:29" ht="2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 spans="1:29" ht="2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 spans="1:29" ht="2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 spans="1:29" ht="2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 spans="1:29" ht="2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 spans="1:29" ht="2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 spans="1:29" ht="2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 spans="1:29" ht="2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 spans="1:29" ht="2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 spans="1:29" ht="2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 spans="1:29" ht="2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 spans="1:29" ht="2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 spans="1:29" ht="2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 spans="1:29" ht="2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 spans="1:29" ht="2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 spans="1:29" ht="2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 spans="1:29" ht="2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 spans="1:29" ht="2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 spans="1:29" ht="2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 spans="1:29" ht="2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 spans="1:29" ht="2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 spans="1:29" ht="2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 spans="1:29" ht="2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 spans="1:29" ht="2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 spans="1:29" ht="2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 spans="1:29" ht="2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 spans="1:29" ht="2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 spans="1:29" ht="2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 spans="1:29" ht="2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 spans="1:29" ht="2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 spans="1:29" ht="2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 spans="1:29" ht="2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 spans="1:29" ht="2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 spans="1:29" ht="2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 spans="1:29" ht="2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 spans="1:29" ht="2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 spans="1:29" ht="2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 spans="1:29" ht="2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 spans="1:29" ht="2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 spans="1:29" ht="2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 spans="1:29" ht="2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 spans="1:29" ht="2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 spans="1:29" ht="2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 spans="1:29" ht="2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 spans="1:29" ht="2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 spans="1:29" ht="2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 spans="1:29" ht="2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 spans="1:29" ht="2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 spans="1:29" ht="2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 spans="1:29" ht="2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 spans="1:29" ht="2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 spans="1:29" ht="2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 spans="1:29" ht="2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 spans="1:29" ht="2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 spans="1:29" ht="2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 spans="1:29" ht="2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 spans="1:29" ht="2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 spans="1:29" ht="2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 spans="1:29" ht="2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 spans="1:29" ht="2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 spans="1:29" ht="2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 spans="1:29" ht="2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 spans="1:29" ht="2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 spans="1:29" ht="2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 spans="1:29" ht="2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 spans="1:29" ht="2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 spans="1:29" ht="2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 spans="1:29" ht="2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 spans="1:29" ht="2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 spans="1:29" ht="2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 spans="1:29" ht="2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 spans="1:29" ht="2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 spans="1:29" ht="2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 spans="1:29" ht="2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 spans="1:29" ht="2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 spans="1:29" ht="2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 spans="1:29" ht="2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 spans="1:29" ht="2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 spans="1:29" ht="2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 spans="1:29" ht="2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 spans="1:29" ht="2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 spans="1:29" ht="2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 spans="1:29" ht="2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 spans="1:29" ht="21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 spans="1:29" ht="21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 spans="1:29" ht="21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 spans="1:29" ht="21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 spans="1:29" ht="21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 spans="1:29" ht="21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 spans="1:29" ht="21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 spans="1:29" ht="21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 spans="1:29" ht="21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 spans="1:29" ht="21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 spans="1:29" ht="21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 spans="1:29" ht="21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 spans="1:29" ht="21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 spans="1:29" ht="21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 spans="1:29" ht="21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 spans="1:29" ht="21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 spans="1:29" ht="21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 spans="1:29" ht="21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 spans="1:29" ht="21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 spans="1:29" ht="21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 spans="1:29" ht="21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 spans="1:29" ht="21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 spans="1:29" ht="21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 spans="1:29" ht="21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 spans="1:29" ht="21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 spans="1:29" ht="21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 spans="1:29" ht="21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 spans="1:29" ht="21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 spans="1:29" ht="21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 spans="1:29" ht="21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 spans="1:29" ht="21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 spans="1:29" ht="21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 spans="1:29" ht="21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 spans="1:29" ht="21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 spans="1:29" ht="21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 spans="1:29" ht="21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 spans="1:29" ht="21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 spans="1:29" ht="21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 spans="1:29" ht="21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 spans="1:29" ht="21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 spans="1:29" ht="21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 spans="1:29" ht="21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 spans="1:29" ht="21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 spans="1:29" ht="21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 spans="1:29" ht="21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 spans="1:29" ht="21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 spans="1:29" ht="21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 spans="1:29" ht="21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 spans="1:29" ht="21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 spans="1:29" ht="21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 spans="1:29" ht="21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 spans="1:29" ht="21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 spans="1:29" ht="21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 spans="1:29" ht="21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 spans="1:29" ht="21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 spans="1:29" ht="21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 spans="1:29" ht="21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 spans="1:29" ht="21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 spans="1:29" ht="21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 spans="1:29" ht="21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 spans="1:29" ht="21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 spans="1:29" ht="21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 spans="1:29" ht="21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 spans="1:29" ht="21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 spans="1:29" ht="21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 spans="1:29" ht="21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 spans="1:29" ht="21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 spans="1:29" ht="21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 spans="1:29" ht="21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 spans="1:29" ht="21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 spans="1:29" ht="21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 spans="1:29" ht="21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 spans="1:29" ht="21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 spans="1:29" ht="21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 spans="1:29" ht="21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 spans="1:29" ht="21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 spans="1:29" ht="21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 spans="1:29" ht="21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 spans="1:29" ht="21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 spans="1:29" ht="21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 spans="1:29" ht="21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 spans="1:29" ht="21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 spans="1:29" ht="21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 spans="1:29" ht="21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 spans="1:29" ht="21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 spans="1:29" ht="21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 spans="1:29" ht="21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 spans="1:29" ht="21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 spans="1:29" ht="21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 spans="1:29" ht="21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 spans="1:29" ht="21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 spans="1:29" ht="21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 spans="1:29" ht="21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 spans="1:29" ht="21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 spans="1:29" ht="21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 spans="1:29" ht="21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 spans="1:29" ht="21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 spans="1:29" ht="21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 spans="1:29" ht="21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 spans="1:29" ht="21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 spans="1:29" ht="21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 spans="1:29" ht="21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 spans="1:29" ht="21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 spans="1:29" ht="21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 spans="1:29" ht="21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 spans="1:29" ht="21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 spans="1:29" ht="21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 spans="1:29" ht="21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 spans="1:29" ht="21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 spans="1:29" ht="21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 spans="1:29" ht="21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 spans="1:29" ht="21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 spans="1:29" ht="21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 spans="1:29" ht="21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 spans="1:29" ht="21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 spans="1:29" ht="21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 spans="1:29" ht="21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 spans="1:29" ht="21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 spans="1:29" ht="21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 spans="1:29" ht="21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 spans="1:29" ht="21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 spans="1:29" ht="21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 spans="1:29" ht="21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 spans="1:29" ht="21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 spans="1:29" ht="21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 spans="1:29" ht="21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 spans="1:29" ht="21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 spans="1:29" ht="21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 spans="1:29" ht="21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 spans="1:29" ht="21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 spans="1:29" ht="21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 spans="1:29" ht="21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 spans="1:29" ht="21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 spans="1:29" ht="21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 spans="1:29" ht="21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 spans="1:29" ht="21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 spans="1:29" ht="21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 spans="1:29" ht="21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 spans="1:29" ht="21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 spans="1:29" ht="21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 spans="1:29" ht="21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 spans="1:29" ht="21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 spans="1:29" ht="21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 spans="1:29" ht="21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 spans="1:29" ht="21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 spans="1:29" ht="21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 spans="1:29" ht="21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 spans="1:29" ht="21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 spans="1:29" ht="21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 spans="1:29" ht="21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 spans="1:29" ht="21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 spans="1:29" ht="21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 spans="1:29" ht="21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 spans="1:29" ht="21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 spans="1:29" ht="21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 spans="1:29" ht="21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 spans="1:29" ht="21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 spans="1:29" ht="21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 spans="1:29" ht="21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 spans="1:29" ht="21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 spans="1:29" ht="21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 spans="1:29" ht="21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 spans="1:29" ht="21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 spans="1:29" ht="21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 spans="1:29" ht="21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 spans="1:29" ht="21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 spans="1:29" ht="21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 spans="1:29" ht="21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 spans="1:29" ht="21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 spans="1:29" ht="21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 spans="1:29" ht="21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 spans="1:29" ht="21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 spans="1:29" ht="21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 spans="1:29" ht="21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 spans="1:29" ht="21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 spans="1:29" ht="21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 spans="1:29" ht="21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 spans="1:29" ht="21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 spans="1:29" ht="21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 spans="1:29" ht="21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 spans="1:29" ht="21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 spans="1:29" ht="21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 spans="1:29" ht="21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 spans="1:29" ht="21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 spans="1:29" ht="21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 spans="1:29" ht="21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 spans="1:29" ht="21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 spans="1:29" ht="21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 spans="1:29" ht="21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 spans="1:29" ht="21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 spans="1:29" ht="21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 spans="1:29" ht="21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 spans="1:29" ht="21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 spans="1:29" ht="21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 spans="1:29" ht="21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 spans="1:29" ht="21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 spans="1:29" ht="21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 spans="1:29" ht="21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 spans="1:29" ht="21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 spans="1:29" ht="21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 spans="1:29" ht="21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 spans="1:29" ht="21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 spans="1:29" ht="21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 spans="1:29" ht="21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 spans="1:29" ht="21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 spans="1:29" ht="21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 spans="1:29" ht="21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 spans="1:29" ht="21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 spans="1:29" ht="21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 spans="1:29" ht="21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 spans="1:29" ht="21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 spans="1:29" ht="21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 spans="1:29" ht="21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 spans="1:29" ht="21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 spans="1:29" ht="21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 spans="1:29" ht="21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 spans="1:29" ht="21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 spans="1:29" ht="21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 spans="1:29" ht="21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 spans="1:29" ht="21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 spans="1:29" ht="21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 spans="1:29" ht="21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 spans="1:29" ht="21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 spans="1:29" ht="21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 spans="1:29" ht="21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 spans="1:29" ht="21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 spans="1:29" ht="21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 spans="1:29" ht="21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 spans="1:29" ht="21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 spans="1:29" ht="21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 spans="1:29" ht="21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 spans="1:29" ht="21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 spans="1:29" ht="21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 spans="1:29" ht="21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 spans="1:29" ht="21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 spans="1:29" ht="21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 spans="1:29" ht="21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 spans="1:29" ht="21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 spans="1:29" ht="21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 spans="1:29" ht="21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 spans="1:29" ht="21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 spans="1:29" ht="21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 spans="1:29" ht="21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 spans="1:29" ht="21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 spans="1:29" ht="21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 spans="1:29" ht="21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 spans="1:29" ht="21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 spans="1:29" ht="21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 spans="1:29" ht="21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 spans="1:29" ht="21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 spans="1:29" ht="21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 spans="1:29" ht="21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 spans="1:29" ht="21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 spans="1:29" ht="21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 spans="1:29" ht="21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 spans="1:29" ht="21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 spans="1:29" ht="21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 spans="1:29" ht="21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 spans="1:29" ht="21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 spans="1:29" ht="21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 spans="1:29" ht="21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 spans="1:29" ht="21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 spans="1:29" ht="21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 spans="1:29" ht="21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 spans="1:29" ht="21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 spans="1:29" ht="21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 spans="1:29" ht="21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 spans="1:29" ht="21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 spans="1:29" ht="21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 spans="1:29" ht="21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 spans="1:29" ht="21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 spans="1:29" ht="21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 spans="1:29" ht="21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 spans="1:29" ht="21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 spans="1:29" ht="21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 spans="1:29" ht="21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 spans="1:29" ht="21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 spans="1:29" ht="21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 spans="1:29" ht="21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 spans="1:29" ht="21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 spans="1:29" ht="21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 spans="1:29" ht="21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 spans="1:29" ht="21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 spans="1:29" ht="21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 spans="1:29" ht="21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 spans="1:29" ht="21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 spans="1:29" ht="21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 spans="1:29" ht="21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 spans="1:29" ht="21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 spans="1:29" ht="21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 spans="1:29" ht="21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 spans="1:29" ht="21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 spans="1:29" ht="21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 spans="1:29" ht="21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 spans="1:29" ht="21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 spans="1:29" ht="21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 spans="1:29" ht="21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 spans="1:29" ht="21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 spans="1:29" ht="21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 spans="1:29" ht="21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 spans="1:29" ht="21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 spans="1:29" ht="21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 spans="1:29" ht="21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 spans="1:29" ht="21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 spans="1:29" ht="21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 spans="1:29" ht="21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 spans="1:29" ht="21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 spans="1:29" ht="21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 spans="1:29" ht="21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 spans="1:29" ht="21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 spans="1:29" ht="21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 spans="1:29" ht="21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 spans="1:29" ht="21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 spans="1:29" ht="21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 spans="1:29" ht="21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 spans="1:29" ht="21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 spans="1:29" ht="21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 spans="1:29" ht="21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 spans="1:29" ht="21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 spans="1:29" ht="21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 spans="1:29" ht="21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 spans="1:29" ht="21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 spans="1:29" ht="21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 spans="1:29" ht="21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 spans="1:29" ht="21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 spans="1:29" ht="21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 spans="1:29" ht="21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 spans="1:29" ht="21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 spans="1:29" ht="21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 spans="1:29" ht="21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 spans="1:29" ht="21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 spans="1:29" ht="21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 spans="1:29" ht="21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 spans="1:29" ht="21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 spans="1:29" ht="21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 spans="1:29" ht="21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 spans="1:29" ht="21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 spans="1:29" ht="21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 spans="1:29" ht="21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 spans="1:29" ht="21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 spans="1:29" ht="21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 spans="1:29" ht="21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 spans="1:29" ht="21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 spans="1:29" ht="21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 spans="1:29" ht="21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 spans="1:29" ht="21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 spans="1:29" ht="21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 spans="1:29" ht="21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 spans="1:29" ht="21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 spans="1:29" ht="21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 spans="1:29" ht="21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 spans="1:29" ht="21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 spans="1:29" ht="21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 spans="1:29" ht="21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 spans="1:29" ht="21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 spans="1:29" ht="21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 spans="1:29" ht="21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 spans="1:29" ht="21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 spans="1:29" ht="21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 spans="1:29" ht="21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 spans="1:29" ht="21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 spans="1:29" ht="21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 spans="1:29" ht="21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 spans="1:29" ht="21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 spans="1:29" ht="21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 spans="1:29" ht="21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 spans="1:29" ht="21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 spans="1:29" ht="21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 spans="1:29" ht="21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 spans="1:29" ht="21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 spans="1:29" ht="21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 spans="1:29" ht="21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 spans="1:29" ht="21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 spans="1:29" ht="21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 spans="1:29" ht="21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 spans="1:29" ht="21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 spans="1:29" ht="21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 spans="1:29" ht="21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 spans="1:29" ht="21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 spans="1:29" ht="21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 spans="1:29" ht="21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 spans="1:29" ht="21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 spans="1:29" ht="21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 spans="1:29" ht="21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 spans="1:29" ht="21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 spans="1:29" ht="21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 spans="1:29" ht="21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 spans="1:29" ht="21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 spans="1:29" ht="21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 spans="1:29" ht="21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 spans="1:29" ht="21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 spans="1:29" ht="21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 spans="1:29" ht="21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 spans="1:29" ht="21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 spans="1:29" ht="21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 spans="1:29" ht="21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 spans="1:29" ht="21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 spans="1:29" ht="21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 spans="1:29" ht="21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 spans="1:29" ht="21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 spans="1:29" ht="21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 spans="1:29" ht="21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 spans="1:29" ht="21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 spans="1:29" ht="21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 spans="1:29" ht="21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 spans="1:29" ht="21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 spans="1:29" ht="21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 spans="1:29" ht="21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 spans="1:29" ht="21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 spans="1:29" ht="21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 spans="1:29" ht="21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 spans="1:29" ht="21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 spans="1:29" ht="21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 spans="1:29" ht="21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 spans="1:29" ht="21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 spans="1:29" ht="21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 spans="1:29" ht="21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 spans="1:29" ht="21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 spans="1:29" ht="21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 spans="1:29" ht="21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 spans="1:29" ht="21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 spans="1:29" ht="21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 spans="1:29" ht="21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 spans="1:29" ht="21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 spans="1:29" ht="21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 spans="1:29" ht="21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 spans="1:29" ht="21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 spans="1:29" ht="21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 spans="1:29" ht="21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 spans="1:29" ht="21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 spans="1:29" ht="21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 spans="1:29" ht="21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 spans="1:29" ht="21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 spans="1:29" ht="21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 spans="1:29" ht="21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 spans="1:29" ht="21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 spans="1:29" ht="21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 spans="1:29" ht="21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 spans="1:29" ht="21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 spans="1:29" ht="21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 spans="1:29" ht="21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 spans="1:29" ht="21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 spans="1:29" ht="21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 spans="1:29" ht="21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 spans="1:29" ht="21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 spans="1:29" ht="21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 spans="1:29" ht="21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 spans="1:29" ht="21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 spans="1:29" ht="21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 spans="1:29" ht="21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 spans="1:29" ht="21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 spans="1:29" ht="21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 spans="1:29" ht="21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 spans="1:29" ht="21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 spans="1:29" ht="21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 spans="1:29" ht="21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 spans="1:29" ht="21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 spans="1:29" ht="21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 spans="1:29" ht="21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 spans="1:29" ht="21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 spans="1:29" ht="21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 spans="1:29" ht="21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 spans="1:29" ht="21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 spans="1:29" ht="21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 spans="1:29" ht="21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 spans="1:29" ht="21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 spans="1:29" ht="21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 spans="1:29" ht="21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 spans="1:29" ht="21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 spans="1:29" ht="21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 spans="1:29" ht="21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 spans="1:29" ht="21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 spans="1:29" ht="21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 spans="1:29" ht="21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 spans="1:29" ht="21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 spans="1:29" ht="21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 spans="1:29" ht="21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 spans="1:29" ht="21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 spans="1:29" ht="21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 spans="1:29" ht="21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 spans="1:29" ht="21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 spans="1:29" ht="21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 spans="1:29" ht="21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 spans="1:29" ht="21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 spans="1:29" ht="21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 spans="1:29" ht="21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 spans="1:29" ht="21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 spans="1:29" ht="21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 spans="1:29" ht="21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 spans="1:29" ht="21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 spans="1:29" ht="21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 spans="1:29" ht="21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 spans="1:29" ht="21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 spans="1:29" ht="21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 spans="1:29" ht="21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 spans="1:29" ht="21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 spans="1:29" ht="21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 spans="1:29" ht="21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 spans="1:29" ht="21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 spans="1:29" ht="21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 spans="1:29" ht="21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 spans="1:29" ht="21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 spans="1:29" ht="21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 spans="1:29" ht="21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 spans="1:29" ht="21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 spans="1:29" ht="21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 spans="1:29" ht="21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 spans="1:29" ht="21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 spans="1:29" ht="21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 spans="1:29" ht="21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 spans="1:29" ht="21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 spans="1:29" ht="21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 spans="1:29" ht="21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 spans="1:29" ht="21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 spans="1:29" ht="21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 spans="1:29" ht="21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 spans="1:29" ht="21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 spans="1:29" ht="21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 spans="1:29" ht="21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 spans="1:29" ht="21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 spans="1:29" ht="21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 spans="1:29" ht="21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 spans="1:29" ht="21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 spans="1:29" ht="21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 spans="1:29" ht="21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 spans="1:29" ht="21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 spans="1:29" ht="21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 spans="1:29" ht="21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 spans="1:29" ht="21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 spans="1:29" ht="21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 spans="1:29" ht="21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 spans="1:29" ht="21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 spans="1:29" ht="21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 spans="1:29" ht="21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 spans="1:29" ht="21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 spans="1:29" ht="21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 spans="1:29" ht="21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 spans="1:29" ht="21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 spans="1:29" ht="21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 spans="1:29" ht="21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 spans="1:29" ht="21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 spans="1:29" ht="21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 spans="1:29" ht="21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 spans="1:29" ht="21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 spans="1:29" ht="21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 spans="1:29" ht="21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 spans="1:29" ht="21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 spans="1:29" ht="21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 spans="1:29" ht="21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 spans="1:29" ht="21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 spans="1:29" ht="21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 spans="1:29" ht="21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 spans="1:29" ht="21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 spans="1:29" ht="21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 spans="1:29" ht="21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 spans="1:29" ht="21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 spans="1:29" ht="21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 spans="1:29" ht="21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 spans="1:29" ht="21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 spans="1:29" ht="21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 spans="1:29" ht="21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 spans="1:29" ht="21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 spans="1:29" ht="21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 spans="1:29" ht="21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 spans="1:29" ht="21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 spans="1:29" ht="21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 spans="1:29" ht="21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 spans="1:29" ht="21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 spans="1:29" ht="21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 spans="1:29" ht="21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 spans="1:29" ht="21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 spans="1:29" ht="21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 spans="1:29" ht="21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 spans="1:29" ht="21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 spans="1:29" ht="21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 spans="1:29" ht="21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 spans="1:29" ht="21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 spans="1:29" ht="21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 spans="1:29" ht="21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 spans="1:29" ht="21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 spans="1:29" ht="21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 spans="1:29" ht="21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 spans="1:29" ht="21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 spans="1:29" ht="21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 spans="1:29" ht="21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 spans="1:29" ht="21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 spans="1:29" ht="21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 spans="1:29" ht="21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 spans="1:29" ht="21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 spans="1:29" ht="21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 spans="1:29" ht="21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 spans="1:29" ht="21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 spans="1:29" ht="21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 spans="1:29" ht="21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 spans="1:29" ht="21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 spans="1:29" ht="21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 spans="1:29" ht="21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 spans="1:29" ht="21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 spans="1:29" ht="21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 spans="1:29" ht="21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 spans="1:29" ht="21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 spans="1:29" ht="21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 spans="1:29" ht="21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 spans="1:29" ht="21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 spans="1:29" ht="21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 spans="1:29" ht="21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 spans="1:29" ht="21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 spans="1:29" ht="21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 spans="1:29" ht="21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 spans="1:29" ht="21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 spans="1:29" ht="21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 spans="1:29" ht="21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 spans="1:29" ht="21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 spans="1:29" ht="21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 spans="1:29" ht="21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 spans="1:29" ht="21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 spans="1:29" ht="21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 spans="1:29" ht="21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 spans="1:29" ht="21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 spans="1:29" ht="21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 spans="1:29" ht="21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 spans="1:29" ht="21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 spans="1:29" ht="21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 spans="1:29" ht="21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 spans="1:29" ht="21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 spans="1:29" ht="21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 spans="1:29" ht="21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 spans="1:29" ht="21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 spans="1:29" ht="21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 spans="1:29" ht="21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 spans="1:29" ht="21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 spans="1:29" ht="21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 spans="1:29" ht="21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 spans="1:29" ht="21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 spans="1:29" ht="21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 spans="1:29" ht="21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 spans="1:29" ht="21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 spans="1:29" ht="21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 spans="1:29" ht="21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 spans="1:29" ht="21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 spans="1:29" ht="21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 spans="1:29" ht="21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 spans="1:29" ht="21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 spans="1:29" ht="21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 spans="1:29" ht="21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 spans="1:29" ht="21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 spans="1:29" ht="21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 spans="1:29" ht="21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 spans="1:29" ht="21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 spans="1:29" ht="21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 spans="1:29" ht="21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 spans="1:29" ht="21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 spans="1:29" ht="21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 spans="1:29" ht="21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 spans="1:29" ht="21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 spans="1:29" ht="21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 spans="1:29" ht="21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 spans="1:29" ht="21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 spans="1:29" ht="21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 spans="1:29" ht="21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 spans="1:29" ht="21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 spans="1:29" ht="21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 spans="1:29" ht="21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 spans="1:29" ht="21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 spans="1:29" ht="21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 spans="1:29" ht="21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 spans="1:29" ht="21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 spans="1:29" ht="21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 spans="1:29" ht="21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 spans="1:29" ht="21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 spans="1:29" ht="21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 spans="1:29" ht="21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 spans="1:29" ht="21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 spans="1:29" ht="21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 spans="1:29" ht="21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 spans="1:29" ht="21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 spans="1:29" ht="21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 spans="1:29" ht="21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 spans="1:29" ht="21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 spans="1:29" ht="21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 spans="1:29" ht="21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 spans="1:29" ht="21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 spans="1:29" ht="21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 spans="1:29" ht="21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 spans="1:29" ht="21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 spans="1:29" ht="21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 spans="1:29" ht="21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 spans="1:29" ht="21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 spans="1:29" ht="21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 spans="1:29" ht="21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 spans="1:29" ht="21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 spans="1:29" ht="21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 spans="1:29" ht="21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 spans="1:29" ht="21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 spans="1:29" ht="21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 spans="1:29" ht="21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 spans="1:29" ht="21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 spans="1:29" ht="21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 spans="1:29" ht="21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 spans="1:29" ht="21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 spans="1:29" ht="21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 spans="1:29" ht="21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 spans="1:29" ht="21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 spans="1:29" ht="21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 spans="1:29" ht="21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 spans="1:29" ht="21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 spans="1:29" ht="21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 spans="1:29" ht="21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 spans="1:29" ht="21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 spans="1:29" ht="21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 spans="1:29" ht="21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 spans="1:29" ht="21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 spans="1:29" ht="21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 spans="1:29" ht="21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 spans="1:29" ht="21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 spans="1:29" ht="21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 spans="1:29" ht="21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 spans="1:29" ht="21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 spans="1:29" ht="21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 spans="1:29" ht="21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 spans="1:29" ht="21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 spans="1:29" ht="21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 spans="1:29" ht="21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 spans="1:29" ht="21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 spans="1:29" ht="21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 spans="1:29" ht="21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 spans="1:29" ht="21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 spans="1:29" ht="21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 spans="1:29" ht="21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 spans="1:29" ht="21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 spans="1:29" ht="21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 spans="1:29" ht="21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 spans="1:29" ht="21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 spans="1:29" ht="21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 spans="1:29" ht="21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 spans="1:29" ht="21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 spans="1:29" ht="21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 spans="1:29" ht="21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 spans="1:29" ht="21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 spans="1:29" ht="21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 spans="1:29" ht="21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 spans="1:29" ht="21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 spans="1:29" ht="21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 spans="1:29" ht="21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 spans="1:29" ht="21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 spans="1:29" ht="21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 spans="1:29" ht="21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 spans="1:29" ht="21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 spans="1:29" ht="21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 spans="1:29" ht="21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 spans="1:29" ht="21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 spans="1:29" ht="21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 spans="1:29" ht="21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 spans="1:29" ht="21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 spans="1:29" ht="21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 spans="1:29" ht="21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 spans="1:29" ht="21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 spans="1:29" ht="21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 spans="1:29" ht="21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 spans="1:29" ht="21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 spans="1:29" ht="21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 spans="1:29" ht="21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 spans="1:29" ht="21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 spans="1:29" ht="21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 spans="1:29" ht="21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 spans="1:29" ht="21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 spans="1:29" ht="21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 spans="1:29" ht="21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 spans="1:29" ht="21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 spans="1:29" ht="21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 spans="1:29" ht="21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 spans="1:29" ht="21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 spans="1:29" ht="21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 spans="1:29" ht="21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 spans="1:29" ht="21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 spans="1:29" ht="21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 spans="1:29" ht="21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 spans="1:29" ht="21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 spans="1:29" ht="21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 spans="1:29" ht="21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 spans="1:29" ht="21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 spans="1:29" ht="21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 spans="1:29" ht="21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 spans="1:29" ht="21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 spans="1:29" ht="21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 spans="1:29" ht="21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 spans="1:29" ht="21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 spans="1:29" ht="21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 spans="1:29" ht="21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 spans="1:29" ht="21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 spans="1:29" ht="21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</sheetData>
  <mergeCells count="38">
    <mergeCell ref="J30:K30"/>
    <mergeCell ref="B32:C32"/>
    <mergeCell ref="B33:C33"/>
    <mergeCell ref="A34:K34"/>
    <mergeCell ref="A35:K35"/>
    <mergeCell ref="B31:C31"/>
    <mergeCell ref="J31:K31"/>
    <mergeCell ref="B27:C27"/>
    <mergeCell ref="B28:C28"/>
    <mergeCell ref="B29:C29"/>
    <mergeCell ref="A30:D30"/>
    <mergeCell ref="B16:C16"/>
    <mergeCell ref="B24:C24"/>
    <mergeCell ref="B25:C25"/>
    <mergeCell ref="B17:C17"/>
    <mergeCell ref="B18:C18"/>
    <mergeCell ref="B19:C19"/>
    <mergeCell ref="B20:C20"/>
    <mergeCell ref="B21:C21"/>
    <mergeCell ref="B22:C22"/>
    <mergeCell ref="B23:C23"/>
    <mergeCell ref="A26:I26"/>
    <mergeCell ref="G8:I9"/>
    <mergeCell ref="K8:K9"/>
    <mergeCell ref="A8:F9"/>
    <mergeCell ref="A10:K10"/>
    <mergeCell ref="B14:C14"/>
    <mergeCell ref="D14:D15"/>
    <mergeCell ref="E14:E15"/>
    <mergeCell ref="G14:G15"/>
    <mergeCell ref="H14:H15"/>
    <mergeCell ref="B15:C15"/>
    <mergeCell ref="C12:G12"/>
    <mergeCell ref="A1:K1"/>
    <mergeCell ref="A2:K2"/>
    <mergeCell ref="A3:K3"/>
    <mergeCell ref="A4:K4"/>
    <mergeCell ref="A5:K7"/>
  </mergeCells>
  <phoneticPr fontId="43" type="noConversion"/>
  <printOptions horizontalCentered="1" verticalCentered="1"/>
  <pageMargins left="0.25" right="0.25" top="0.75" bottom="0.75" header="0" footer="0"/>
  <pageSetup paperSize="9" scale="68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77105-7DAD-405C-AB08-83CF44720438}">
  <sheetPr>
    <pageSetUpPr fitToPage="1"/>
  </sheetPr>
  <dimension ref="A1:Y998"/>
  <sheetViews>
    <sheetView topLeftCell="A7" zoomScale="130" zoomScaleNormal="130" workbookViewId="0">
      <selection activeCell="J23" sqref="J23"/>
    </sheetView>
  </sheetViews>
  <sheetFormatPr defaultColWidth="14.42578125" defaultRowHeight="15" customHeight="1"/>
  <cols>
    <col min="1" max="25" width="8.7109375" customWidth="1"/>
  </cols>
  <sheetData>
    <row r="1" spans="1:25" ht="14.25" customHeight="1">
      <c r="A1" s="133" t="s">
        <v>0</v>
      </c>
      <c r="B1" s="134"/>
      <c r="C1" s="134"/>
      <c r="D1" s="134"/>
      <c r="E1" s="134"/>
      <c r="F1" s="134"/>
      <c r="G1" s="134"/>
      <c r="H1" s="134"/>
      <c r="I1" s="134"/>
      <c r="J1" s="2"/>
      <c r="K1" s="1"/>
    </row>
    <row r="2" spans="1:25">
      <c r="A2" s="135"/>
      <c r="B2" s="136"/>
      <c r="C2" s="136"/>
      <c r="D2" s="136"/>
      <c r="E2" s="136"/>
      <c r="F2" s="136"/>
      <c r="G2" s="136"/>
      <c r="H2" s="136"/>
      <c r="I2" s="136"/>
      <c r="J2" s="3"/>
      <c r="K2" s="1"/>
    </row>
    <row r="3" spans="1:25">
      <c r="A3" s="135"/>
      <c r="B3" s="136"/>
      <c r="C3" s="136"/>
      <c r="D3" s="136"/>
      <c r="E3" s="136"/>
      <c r="F3" s="136"/>
      <c r="G3" s="136"/>
      <c r="H3" s="136"/>
      <c r="I3" s="136"/>
      <c r="J3" s="3"/>
      <c r="K3" s="1"/>
    </row>
    <row r="4" spans="1:25" ht="18" customHeight="1">
      <c r="A4" s="135"/>
      <c r="B4" s="136"/>
      <c r="C4" s="136"/>
      <c r="D4" s="136"/>
      <c r="E4" s="136"/>
      <c r="F4" s="136"/>
      <c r="G4" s="136"/>
      <c r="H4" s="136"/>
      <c r="I4" s="136"/>
      <c r="J4" s="3"/>
      <c r="K4" s="1"/>
    </row>
    <row r="5" spans="1:25">
      <c r="A5" s="135"/>
      <c r="B5" s="136"/>
      <c r="C5" s="136"/>
      <c r="D5" s="136"/>
      <c r="E5" s="136"/>
      <c r="F5" s="136"/>
      <c r="G5" s="136"/>
      <c r="H5" s="136"/>
      <c r="I5" s="136"/>
      <c r="J5" s="4"/>
      <c r="K5" s="5"/>
    </row>
    <row r="6" spans="1:25" ht="21">
      <c r="A6" s="137" t="s">
        <v>1</v>
      </c>
      <c r="B6" s="136"/>
      <c r="C6" s="136"/>
      <c r="D6" s="136"/>
      <c r="E6" s="136"/>
      <c r="F6" s="136"/>
      <c r="G6" s="136"/>
      <c r="H6" s="136"/>
      <c r="I6" s="136"/>
      <c r="J6" s="138"/>
    </row>
    <row r="7" spans="1:25">
      <c r="A7" s="6"/>
      <c r="B7" s="7"/>
      <c r="C7" s="7"/>
      <c r="D7" s="7"/>
      <c r="E7" s="7"/>
      <c r="F7" s="7"/>
      <c r="G7" s="7"/>
      <c r="H7" s="7"/>
      <c r="I7" s="7"/>
      <c r="J7" s="8"/>
    </row>
    <row r="8" spans="1:25" s="48" customFormat="1" ht="15" customHeight="1">
      <c r="A8" s="139" t="s">
        <v>2</v>
      </c>
      <c r="B8" s="142" t="str">
        <f>ค่าขนส่ง!C11</f>
        <v>CJ Logistics (Thailand) Co.,Ltd.</v>
      </c>
      <c r="C8" s="143"/>
      <c r="D8" s="143"/>
      <c r="E8" s="143"/>
      <c r="F8" s="143"/>
      <c r="G8" s="143"/>
      <c r="H8" s="144"/>
      <c r="I8" s="46"/>
      <c r="J8" s="47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</row>
    <row r="9" spans="1:25" s="48" customFormat="1" ht="15" customHeight="1">
      <c r="A9" s="140"/>
      <c r="B9" s="145"/>
      <c r="C9" s="145"/>
      <c r="D9" s="145"/>
      <c r="E9" s="145"/>
      <c r="F9" s="145"/>
      <c r="G9" s="145"/>
      <c r="H9" s="146"/>
      <c r="I9" s="49" t="s">
        <v>3</v>
      </c>
      <c r="J9" s="50">
        <f>ค่าขนส่ง!K8</f>
        <v>46183</v>
      </c>
      <c r="K9" s="45"/>
      <c r="L9" s="45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</row>
    <row r="10" spans="1:25" s="48" customFormat="1" ht="15" customHeight="1">
      <c r="A10" s="141"/>
      <c r="B10" s="147"/>
      <c r="C10" s="147"/>
      <c r="D10" s="147"/>
      <c r="E10" s="147"/>
      <c r="F10" s="147"/>
      <c r="G10" s="147"/>
      <c r="H10" s="148"/>
      <c r="I10" s="51" t="s">
        <v>4</v>
      </c>
      <c r="J10" s="52"/>
      <c r="K10" s="45"/>
      <c r="L10" s="45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</row>
    <row r="11" spans="1:25" s="48" customFormat="1" ht="15" customHeight="1">
      <c r="A11" s="139" t="s">
        <v>5</v>
      </c>
      <c r="B11" s="53" t="str">
        <f>ค่าขนส่ง!C12</f>
        <v>598 Q House Pleonchit Building, 16th Fl., Pleonchit rd., Lumphinee, Pathumwan, Bangkok 10330</v>
      </c>
      <c r="C11" s="53"/>
      <c r="D11" s="53"/>
      <c r="E11" s="53"/>
      <c r="F11" s="53"/>
      <c r="G11" s="53"/>
      <c r="H11" s="54"/>
      <c r="I11" s="55"/>
      <c r="J11" s="116"/>
      <c r="K11" s="45"/>
      <c r="L11" s="45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</row>
    <row r="12" spans="1:25" s="48" customFormat="1" ht="15" customHeight="1">
      <c r="A12" s="140"/>
      <c r="B12" s="56" t="str">
        <f>ค่าขนส่ง!C13</f>
        <v>TAX ID : 0105547034923</v>
      </c>
      <c r="C12" s="56"/>
      <c r="D12" s="56"/>
      <c r="E12" s="56"/>
      <c r="F12" s="56"/>
      <c r="G12" s="56"/>
      <c r="H12" s="57"/>
      <c r="I12" s="58" t="s">
        <v>6</v>
      </c>
      <c r="J12" s="59" t="s">
        <v>7</v>
      </c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</row>
    <row r="13" spans="1:25" s="48" customFormat="1" ht="15" customHeight="1">
      <c r="A13" s="141"/>
      <c r="B13" s="60"/>
      <c r="C13" s="60"/>
      <c r="D13" s="60"/>
      <c r="E13" s="60"/>
      <c r="F13" s="60"/>
      <c r="G13" s="60"/>
      <c r="H13" s="61"/>
      <c r="I13" s="62"/>
      <c r="J13" s="63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</row>
    <row r="14" spans="1:25" s="48" customFormat="1" ht="15" customHeight="1">
      <c r="A14" s="64" t="s">
        <v>8</v>
      </c>
      <c r="B14" s="65"/>
      <c r="C14" s="66" t="s">
        <v>9</v>
      </c>
      <c r="D14" s="67"/>
      <c r="E14" s="67"/>
      <c r="F14" s="67"/>
      <c r="G14" s="68"/>
      <c r="H14" s="68" t="s">
        <v>10</v>
      </c>
      <c r="I14" s="69" t="s">
        <v>11</v>
      </c>
      <c r="J14" s="64" t="s">
        <v>12</v>
      </c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</row>
    <row r="15" spans="1:25" s="48" customFormat="1" ht="15" customHeight="1">
      <c r="A15" s="70" t="s">
        <v>13</v>
      </c>
      <c r="B15" s="71"/>
      <c r="C15" s="60" t="s">
        <v>14</v>
      </c>
      <c r="D15" s="60"/>
      <c r="E15" s="60"/>
      <c r="F15" s="60"/>
      <c r="G15" s="61"/>
      <c r="H15" s="72" t="s">
        <v>15</v>
      </c>
      <c r="I15" s="73" t="s">
        <v>16</v>
      </c>
      <c r="J15" s="70" t="s">
        <v>17</v>
      </c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</row>
    <row r="16" spans="1:25" s="48" customFormat="1">
      <c r="A16" s="81">
        <v>1</v>
      </c>
      <c r="B16" s="82" t="str">
        <f>ค่าทดรองจ่าย!$G$8&amp;" "&amp;ค่าทดรองจ่าย!$G16&amp;" "&amp;"ค่าใช้จ่าย"</f>
        <v>CJIV2606-001AD HAIER APPLIANCES ค่าใช้จ่าย</v>
      </c>
      <c r="C16" s="82"/>
      <c r="D16" s="83"/>
      <c r="E16" s="77"/>
      <c r="F16" s="78"/>
      <c r="G16" s="79"/>
      <c r="H16" s="80">
        <v>1</v>
      </c>
      <c r="I16" s="80">
        <f>ค่าทดรองจ่าย!O26</f>
        <v>6685.05</v>
      </c>
      <c r="J16" s="80">
        <f t="shared" ref="J16" si="0">I16</f>
        <v>6685.05</v>
      </c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</row>
    <row r="17" spans="1:25" s="48" customFormat="1" ht="15" customHeight="1">
      <c r="A17" s="109"/>
      <c r="B17" s="82"/>
      <c r="C17" s="110"/>
      <c r="D17" s="111"/>
      <c r="E17" s="112"/>
      <c r="F17" s="113"/>
      <c r="G17" s="114"/>
      <c r="H17" s="115"/>
      <c r="I17" s="115"/>
      <c r="J17" s="80"/>
      <c r="K17" s="45"/>
      <c r="L17" s="45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</row>
    <row r="18" spans="1:25" s="48" customFormat="1" ht="15" customHeight="1">
      <c r="A18" s="84"/>
      <c r="B18" s="89"/>
      <c r="C18" s="90"/>
      <c r="D18" s="91"/>
      <c r="E18" s="85"/>
      <c r="F18" s="86"/>
      <c r="G18" s="87"/>
      <c r="H18" s="88"/>
      <c r="I18" s="88"/>
      <c r="J18" s="88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</row>
    <row r="19" spans="1:25" s="48" customFormat="1" ht="15" customHeight="1">
      <c r="A19" s="92"/>
      <c r="B19" s="89"/>
      <c r="C19" s="85"/>
      <c r="D19" s="89"/>
      <c r="E19" s="85"/>
      <c r="F19" s="85"/>
      <c r="G19" s="93"/>
      <c r="H19" s="88"/>
      <c r="I19" s="88"/>
      <c r="J19" s="88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</row>
    <row r="20" spans="1:25" s="48" customFormat="1" ht="15" customHeight="1">
      <c r="A20" s="92"/>
      <c r="B20" s="89"/>
      <c r="C20" s="85"/>
      <c r="D20" s="89"/>
      <c r="E20" s="85"/>
      <c r="F20" s="85"/>
      <c r="G20" s="93"/>
      <c r="H20" s="88"/>
      <c r="I20" s="88"/>
      <c r="J20" s="88"/>
      <c r="K20" s="45"/>
      <c r="L20" s="45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</row>
    <row r="21" spans="1:25" s="48" customFormat="1" ht="15" customHeight="1">
      <c r="A21" s="92"/>
      <c r="B21" s="89"/>
      <c r="C21" s="85"/>
      <c r="D21" s="89"/>
      <c r="E21" s="85"/>
      <c r="F21" s="85"/>
      <c r="G21" s="93"/>
      <c r="H21" s="88"/>
      <c r="I21" s="88"/>
      <c r="J21" s="88"/>
      <c r="K21" s="45"/>
      <c r="L21" s="45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</row>
    <row r="22" spans="1:25" s="48" customFormat="1" ht="15" customHeight="1">
      <c r="A22" s="92"/>
      <c r="B22" s="89"/>
      <c r="C22" s="85"/>
      <c r="D22" s="85"/>
      <c r="E22" s="85"/>
      <c r="F22" s="85"/>
      <c r="G22" s="93"/>
      <c r="H22" s="88"/>
      <c r="I22" s="88"/>
      <c r="J22" s="88"/>
      <c r="K22" s="45"/>
      <c r="L22" s="45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</row>
    <row r="23" spans="1:25" s="48" customFormat="1" ht="15" customHeight="1">
      <c r="A23" s="84"/>
      <c r="B23" s="89"/>
      <c r="C23" s="90"/>
      <c r="D23" s="91"/>
      <c r="E23" s="85"/>
      <c r="F23" s="86"/>
      <c r="G23" s="87"/>
      <c r="H23" s="88"/>
      <c r="I23" s="88"/>
      <c r="J23" s="88"/>
      <c r="K23" s="45"/>
      <c r="L23" s="45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</row>
    <row r="24" spans="1:25" s="48" customFormat="1" ht="15" customHeight="1">
      <c r="A24" s="92"/>
      <c r="B24" s="89"/>
      <c r="C24" s="85"/>
      <c r="D24" s="89"/>
      <c r="E24" s="85"/>
      <c r="F24" s="85"/>
      <c r="G24" s="93"/>
      <c r="H24" s="88"/>
      <c r="I24" s="88"/>
      <c r="J24" s="88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</row>
    <row r="25" spans="1:25" s="48" customFormat="1" ht="15" customHeight="1">
      <c r="A25" s="92"/>
      <c r="B25" s="89"/>
      <c r="C25" s="85"/>
      <c r="D25" s="89"/>
      <c r="E25" s="85"/>
      <c r="F25" s="85"/>
      <c r="G25" s="93"/>
      <c r="H25" s="88"/>
      <c r="I25" s="88"/>
      <c r="J25" s="88"/>
      <c r="K25" s="45"/>
      <c r="L25" s="45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</row>
    <row r="26" spans="1:25" s="48" customFormat="1" ht="15" customHeight="1">
      <c r="A26" s="92"/>
      <c r="B26" s="89"/>
      <c r="C26" s="85"/>
      <c r="D26" s="89"/>
      <c r="E26" s="85"/>
      <c r="F26" s="85"/>
      <c r="G26" s="93"/>
      <c r="H26" s="88"/>
      <c r="I26" s="88"/>
      <c r="J26" s="88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</row>
    <row r="27" spans="1:25" s="48" customFormat="1" ht="15" customHeight="1">
      <c r="A27" s="92"/>
      <c r="B27" s="89"/>
      <c r="C27" s="85"/>
      <c r="D27" s="85"/>
      <c r="E27" s="85"/>
      <c r="F27" s="85"/>
      <c r="G27" s="93"/>
      <c r="H27" s="88"/>
      <c r="I27" s="88"/>
      <c r="J27" s="88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</row>
    <row r="28" spans="1:25" s="48" customFormat="1" ht="15" customHeight="1">
      <c r="A28" s="84"/>
      <c r="B28" s="89"/>
      <c r="C28" s="90"/>
      <c r="D28" s="91"/>
      <c r="E28" s="85"/>
      <c r="F28" s="86"/>
      <c r="G28" s="87"/>
      <c r="H28" s="88"/>
      <c r="I28" s="88"/>
      <c r="J28" s="88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</row>
    <row r="29" spans="1:25" s="48" customFormat="1" ht="15" customHeight="1">
      <c r="A29" s="92"/>
      <c r="B29" s="89"/>
      <c r="C29" s="85"/>
      <c r="D29" s="89"/>
      <c r="E29" s="85"/>
      <c r="F29" s="85"/>
      <c r="G29" s="93"/>
      <c r="H29" s="88"/>
      <c r="I29" s="88"/>
      <c r="J29" s="88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</row>
    <row r="30" spans="1:25" s="48" customFormat="1" ht="15" customHeight="1">
      <c r="A30" s="92"/>
      <c r="B30" s="89"/>
      <c r="C30" s="85"/>
      <c r="D30" s="89"/>
      <c r="E30" s="85"/>
      <c r="F30" s="85"/>
      <c r="G30" s="93"/>
      <c r="H30" s="88"/>
      <c r="I30" s="88"/>
      <c r="J30" s="88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</row>
    <row r="31" spans="1:25" s="48" customFormat="1" ht="15" customHeight="1">
      <c r="A31" s="92"/>
      <c r="B31" s="89"/>
      <c r="C31" s="85"/>
      <c r="D31" s="89"/>
      <c r="E31" s="85"/>
      <c r="F31" s="85"/>
      <c r="G31" s="93"/>
      <c r="H31" s="88"/>
      <c r="I31" s="88"/>
      <c r="J31" s="88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</row>
    <row r="32" spans="1:25" s="48" customFormat="1" ht="15" customHeight="1">
      <c r="A32" s="92"/>
      <c r="B32" s="89"/>
      <c r="C32" s="85"/>
      <c r="D32" s="85"/>
      <c r="E32" s="85"/>
      <c r="F32" s="85"/>
      <c r="G32" s="93"/>
      <c r="H32" s="88"/>
      <c r="I32" s="88"/>
      <c r="J32" s="88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</row>
    <row r="33" spans="1:25" s="48" customFormat="1" ht="15" customHeight="1">
      <c r="A33" s="92"/>
      <c r="B33" s="89"/>
      <c r="C33" s="85"/>
      <c r="D33" s="85"/>
      <c r="E33" s="85"/>
      <c r="F33" s="85"/>
      <c r="G33" s="93"/>
      <c r="H33" s="88"/>
      <c r="I33" s="88"/>
      <c r="J33" s="88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</row>
    <row r="34" spans="1:25" s="48" customFormat="1" ht="15" customHeight="1">
      <c r="A34" s="84"/>
      <c r="B34" s="89"/>
      <c r="C34" s="90"/>
      <c r="D34" s="85"/>
      <c r="E34" s="85"/>
      <c r="F34" s="85"/>
      <c r="G34" s="93"/>
      <c r="H34" s="88"/>
      <c r="I34" s="88"/>
      <c r="J34" s="88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</row>
    <row r="35" spans="1:25" s="48" customFormat="1" ht="15" customHeight="1">
      <c r="A35" s="94"/>
      <c r="B35" s="95"/>
      <c r="C35" s="96"/>
      <c r="D35" s="96"/>
      <c r="E35" s="96"/>
      <c r="F35" s="96"/>
      <c r="G35" s="97"/>
      <c r="H35" s="98"/>
      <c r="I35" s="98"/>
      <c r="J35" s="88"/>
      <c r="K35" s="45"/>
      <c r="L35" s="45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</row>
    <row r="36" spans="1:25" s="48" customFormat="1" ht="15" customHeight="1">
      <c r="A36" s="99" t="s">
        <v>18</v>
      </c>
      <c r="B36" s="60"/>
      <c r="C36" s="149" t="str">
        <f>BAHTTEXT(J38)</f>
        <v>หกพันหกร้อยแปดสิบห้าบาทห้าสตางค์</v>
      </c>
      <c r="D36" s="150"/>
      <c r="E36" s="150"/>
      <c r="F36" s="150"/>
      <c r="G36" s="151"/>
      <c r="H36" s="43" t="s">
        <v>19</v>
      </c>
      <c r="I36" s="100"/>
      <c r="J36" s="101">
        <f>SUM(J14:J35)</f>
        <v>6685.05</v>
      </c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</row>
    <row r="37" spans="1:25" s="48" customFormat="1" ht="15" customHeight="1">
      <c r="A37" s="102"/>
      <c r="B37" s="55"/>
      <c r="C37" s="55"/>
      <c r="D37" s="55"/>
      <c r="E37" s="55"/>
      <c r="F37" s="55"/>
      <c r="G37" s="55"/>
      <c r="H37" s="44" t="s">
        <v>20</v>
      </c>
      <c r="I37" s="103"/>
      <c r="J37" s="104">
        <v>0</v>
      </c>
      <c r="K37" s="45"/>
      <c r="L37" s="45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</row>
    <row r="38" spans="1:25" s="48" customFormat="1" ht="15" customHeight="1">
      <c r="A38" s="102"/>
      <c r="B38" s="55"/>
      <c r="C38" s="55"/>
      <c r="D38" s="55"/>
      <c r="E38" s="55"/>
      <c r="F38" s="55"/>
      <c r="G38" s="55"/>
      <c r="H38" s="43" t="s">
        <v>21</v>
      </c>
      <c r="I38" s="100"/>
      <c r="J38" s="101">
        <f>SUM(J36:J37)</f>
        <v>6685.05</v>
      </c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</row>
    <row r="39" spans="1:25" s="48" customFormat="1" ht="15" customHeight="1">
      <c r="A39" s="105"/>
      <c r="B39" s="85"/>
      <c r="C39" s="85"/>
      <c r="D39" s="85"/>
      <c r="E39" s="85"/>
      <c r="F39" s="85"/>
      <c r="G39" s="85"/>
      <c r="H39" s="85"/>
      <c r="I39" s="85"/>
      <c r="J39" s="93"/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</row>
    <row r="40" spans="1:25" s="48" customFormat="1" ht="15" customHeight="1">
      <c r="A40" s="105"/>
      <c r="B40" s="85"/>
      <c r="C40" s="85"/>
      <c r="D40" s="85"/>
      <c r="E40" s="85"/>
      <c r="F40" s="85"/>
      <c r="G40" s="85"/>
      <c r="H40" s="85"/>
      <c r="I40" s="85"/>
      <c r="J40" s="93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</row>
    <row r="41" spans="1:25" s="48" customFormat="1" ht="15" customHeight="1">
      <c r="A41" s="95"/>
      <c r="B41" s="96"/>
      <c r="C41" s="96"/>
      <c r="D41" s="85"/>
      <c r="E41" s="96"/>
      <c r="F41" s="96"/>
      <c r="G41" s="96"/>
      <c r="H41" s="85"/>
      <c r="I41" s="96"/>
      <c r="J41" s="97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</row>
    <row r="42" spans="1:25" s="48" customFormat="1" ht="15" customHeight="1">
      <c r="A42" s="129" t="s">
        <v>22</v>
      </c>
      <c r="B42" s="130"/>
      <c r="C42" s="130"/>
      <c r="D42" s="55"/>
      <c r="E42" s="55"/>
      <c r="F42" s="106" t="s">
        <v>23</v>
      </c>
      <c r="G42" s="106"/>
      <c r="H42" s="55"/>
      <c r="I42" s="152" t="s">
        <v>24</v>
      </c>
      <c r="J42" s="153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</row>
    <row r="43" spans="1:25" s="48" customFormat="1" ht="15" customHeight="1">
      <c r="A43" s="105"/>
      <c r="B43" s="85"/>
      <c r="C43" s="85"/>
      <c r="D43" s="85"/>
      <c r="E43" s="85"/>
      <c r="F43" s="85"/>
      <c r="G43" s="85"/>
      <c r="H43" s="85"/>
      <c r="I43" s="85"/>
      <c r="J43" s="93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</row>
    <row r="44" spans="1:25" s="48" customFormat="1" ht="15" customHeight="1">
      <c r="A44" s="95"/>
      <c r="B44" s="96"/>
      <c r="C44" s="96"/>
      <c r="D44" s="96"/>
      <c r="E44" s="96"/>
      <c r="F44" s="96"/>
      <c r="G44" s="96"/>
      <c r="H44" s="96"/>
      <c r="I44" s="96"/>
      <c r="J44" s="97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</row>
    <row r="45" spans="1:25" s="48" customFormat="1" ht="15.75" customHeight="1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</row>
    <row r="46" spans="1:25" s="48" customFormat="1" ht="14.25" customHeight="1">
      <c r="A46" s="131" t="s">
        <v>25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07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</row>
    <row r="47" spans="1:25" s="48" customFormat="1" ht="15.75" customHeight="1">
      <c r="A47" s="132"/>
      <c r="B47" s="132"/>
      <c r="C47" s="132"/>
      <c r="D47" s="132"/>
      <c r="E47" s="132"/>
      <c r="F47" s="132"/>
      <c r="G47" s="132"/>
      <c r="H47" s="132"/>
      <c r="I47" s="132"/>
      <c r="J47" s="132"/>
      <c r="K47" s="107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</row>
    <row r="48" spans="1:25" s="48" customFormat="1" ht="15.75" customHeight="1">
      <c r="A48" s="132"/>
      <c r="B48" s="132"/>
      <c r="C48" s="132"/>
      <c r="D48" s="132"/>
      <c r="E48" s="132"/>
      <c r="F48" s="132"/>
      <c r="G48" s="132"/>
      <c r="H48" s="132"/>
      <c r="I48" s="132"/>
      <c r="J48" s="132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</row>
    <row r="49" s="48" customFormat="1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mergeCells count="9">
    <mergeCell ref="A42:C42"/>
    <mergeCell ref="I42:J42"/>
    <mergeCell ref="A46:J48"/>
    <mergeCell ref="A1:I5"/>
    <mergeCell ref="A6:J6"/>
    <mergeCell ref="A8:A10"/>
    <mergeCell ref="B8:H10"/>
    <mergeCell ref="A11:A13"/>
    <mergeCell ref="C36:G36"/>
  </mergeCells>
  <printOptions horizontalCentered="1"/>
  <pageMargins left="0.11811023622047245" right="0.23622047244094491" top="0.74803149606299213" bottom="0.74803149606299213" header="0" footer="0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D993"/>
  <sheetViews>
    <sheetView tabSelected="1" topLeftCell="A13" zoomScale="120" zoomScaleNormal="120" workbookViewId="0">
      <selection activeCell="E21" sqref="E21"/>
    </sheetView>
  </sheetViews>
  <sheetFormatPr defaultColWidth="14.42578125" defaultRowHeight="15" customHeight="1"/>
  <cols>
    <col min="1" max="1" width="6.140625" customWidth="1"/>
    <col min="2" max="2" width="10.42578125" customWidth="1"/>
    <col min="3" max="3" width="8.85546875" customWidth="1"/>
    <col min="4" max="4" width="16" customWidth="1"/>
    <col min="5" max="5" width="8.140625" customWidth="1"/>
    <col min="6" max="6" width="11.85546875" customWidth="1"/>
    <col min="7" max="7" width="21.140625" customWidth="1"/>
    <col min="8" max="8" width="19" customWidth="1"/>
    <col min="9" max="9" width="12.42578125" customWidth="1"/>
    <col min="10" max="10" width="11" customWidth="1"/>
    <col min="11" max="11" width="10.7109375" customWidth="1"/>
    <col min="12" max="12" width="12.42578125" customWidth="1"/>
    <col min="13" max="14" width="10.7109375" customWidth="1"/>
    <col min="15" max="15" width="15.42578125" customWidth="1"/>
    <col min="16" max="30" width="9" customWidth="1"/>
  </cols>
  <sheetData>
    <row r="1" spans="1:30" ht="24.75" customHeight="1">
      <c r="A1" s="154" t="s">
        <v>26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55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</row>
    <row r="2" spans="1:30" ht="24.75" customHeight="1">
      <c r="A2" s="156" t="s">
        <v>27</v>
      </c>
      <c r="B2" s="136"/>
      <c r="C2" s="136"/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8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</row>
    <row r="3" spans="1:30" ht="19.5" customHeight="1">
      <c r="A3" s="157" t="s">
        <v>28</v>
      </c>
      <c r="B3" s="136"/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8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</row>
    <row r="4" spans="1:30" ht="19.5" customHeight="1">
      <c r="A4" s="158" t="s">
        <v>54</v>
      </c>
      <c r="B4" s="136"/>
      <c r="C4" s="136"/>
      <c r="D4" s="136"/>
      <c r="E4" s="136"/>
      <c r="F4" s="136"/>
      <c r="G4" s="136"/>
      <c r="H4" s="136"/>
      <c r="I4" s="136"/>
      <c r="J4" s="136"/>
      <c r="K4" s="136"/>
      <c r="L4" s="136"/>
      <c r="M4" s="136"/>
      <c r="N4" s="136"/>
      <c r="O4" s="138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</row>
    <row r="5" spans="1:30" ht="19.5" customHeight="1">
      <c r="A5" s="159" t="s">
        <v>55</v>
      </c>
      <c r="B5" s="136"/>
      <c r="C5" s="136"/>
      <c r="D5" s="136"/>
      <c r="E5" s="136"/>
      <c r="F5" s="136"/>
      <c r="G5" s="136"/>
      <c r="H5" s="136"/>
      <c r="I5" s="136"/>
      <c r="J5" s="136"/>
      <c r="K5" s="136"/>
      <c r="L5" s="136"/>
      <c r="M5" s="136"/>
      <c r="N5" s="136"/>
      <c r="O5" s="138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</row>
    <row r="6" spans="1:30" ht="24.75" customHeight="1">
      <c r="A6" s="135"/>
      <c r="B6" s="136"/>
      <c r="C6" s="136"/>
      <c r="D6" s="136"/>
      <c r="E6" s="136"/>
      <c r="F6" s="136"/>
      <c r="G6" s="136"/>
      <c r="H6" s="136"/>
      <c r="I6" s="136"/>
      <c r="J6" s="136"/>
      <c r="K6" s="136"/>
      <c r="L6" s="136"/>
      <c r="M6" s="136"/>
      <c r="N6" s="136"/>
      <c r="O6" s="138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</row>
    <row r="7" spans="1:30" ht="24.75" customHeight="1">
      <c r="A7" s="160"/>
      <c r="B7" s="161"/>
      <c r="C7" s="161"/>
      <c r="D7" s="161"/>
      <c r="E7" s="161"/>
      <c r="F7" s="161"/>
      <c r="G7" s="161"/>
      <c r="H7" s="161"/>
      <c r="I7" s="161"/>
      <c r="J7" s="161"/>
      <c r="K7" s="161"/>
      <c r="L7" s="161"/>
      <c r="M7" s="161"/>
      <c r="N7" s="161"/>
      <c r="O7" s="162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</row>
    <row r="8" spans="1:30" s="13" customFormat="1" ht="21" customHeight="1">
      <c r="A8" s="168" t="s">
        <v>56</v>
      </c>
      <c r="B8" s="164"/>
      <c r="C8" s="164"/>
      <c r="D8" s="164"/>
      <c r="E8" s="164"/>
      <c r="F8" s="164"/>
      <c r="G8" s="163" t="str">
        <f>""&amp;ค่าขนส่ง!G8&amp;"AD"</f>
        <v>CJIV2606-001AD</v>
      </c>
      <c r="H8" s="164"/>
      <c r="I8" s="164"/>
      <c r="J8" s="120"/>
      <c r="K8" s="120"/>
      <c r="L8" s="120"/>
      <c r="M8" s="11" t="s">
        <v>32</v>
      </c>
      <c r="N8" s="125"/>
      <c r="O8" s="166">
        <f>ค่าขนส่ง!K8</f>
        <v>46183</v>
      </c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s="13" customFormat="1" ht="26.25" customHeight="1">
      <c r="A9" s="169"/>
      <c r="B9" s="165"/>
      <c r="C9" s="165"/>
      <c r="D9" s="165"/>
      <c r="E9" s="165"/>
      <c r="F9" s="165"/>
      <c r="G9" s="165"/>
      <c r="H9" s="165"/>
      <c r="I9" s="165"/>
      <c r="J9" s="121"/>
      <c r="K9" s="121"/>
      <c r="L9" s="121"/>
      <c r="M9" s="14" t="s">
        <v>33</v>
      </c>
      <c r="N9" s="126"/>
      <c r="O9" s="167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s="13" customFormat="1" ht="24.75" customHeight="1">
      <c r="A10" s="170"/>
      <c r="B10" s="171"/>
      <c r="C10" s="171"/>
      <c r="D10" s="171"/>
      <c r="E10" s="171"/>
      <c r="F10" s="171"/>
      <c r="G10" s="171"/>
      <c r="H10" s="171"/>
      <c r="I10" s="171"/>
      <c r="J10" s="171"/>
      <c r="K10" s="171"/>
      <c r="L10" s="171"/>
      <c r="M10" s="171"/>
      <c r="N10" s="171"/>
      <c r="O10" s="17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s="13" customFormat="1" ht="24.75" customHeight="1">
      <c r="A11" s="15" t="s">
        <v>34</v>
      </c>
      <c r="B11" s="16"/>
      <c r="C11" s="17" t="str">
        <f>ค่าขนส่ง!C11</f>
        <v>CJ Logistics (Thailand) Co.,Ltd.</v>
      </c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8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</row>
    <row r="12" spans="1:30" s="13" customFormat="1" ht="22.5" customHeight="1">
      <c r="A12" s="19" t="s">
        <v>35</v>
      </c>
      <c r="B12" s="20"/>
      <c r="C12" s="108" t="str">
        <f>ค่าขนส่ง!C12</f>
        <v>598 Q House Pleonchit Building, 16th Fl., Pleonchit rd., Lumphinee, Pathumwan, Bangkok 10330</v>
      </c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1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</row>
    <row r="13" spans="1:30" s="13" customFormat="1" ht="19.5" customHeight="1">
      <c r="A13" s="19" t="s">
        <v>36</v>
      </c>
      <c r="B13" s="20"/>
      <c r="C13" s="108" t="str">
        <f>ค่าขนส่ง!C13</f>
        <v>TAX ID : 0105547034923</v>
      </c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1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s="13" customFormat="1" ht="21.75" customHeight="1">
      <c r="A14" s="23" t="s">
        <v>37</v>
      </c>
      <c r="B14" s="173" t="s">
        <v>38</v>
      </c>
      <c r="C14" s="174"/>
      <c r="D14" s="175" t="s">
        <v>39</v>
      </c>
      <c r="E14" s="175" t="s">
        <v>40</v>
      </c>
      <c r="F14" s="23" t="s">
        <v>41</v>
      </c>
      <c r="G14" s="175" t="s">
        <v>42</v>
      </c>
      <c r="H14" s="175" t="s">
        <v>43</v>
      </c>
      <c r="I14" s="23" t="s">
        <v>44</v>
      </c>
      <c r="J14" s="23" t="s">
        <v>66</v>
      </c>
      <c r="K14" s="23" t="s">
        <v>67</v>
      </c>
      <c r="L14" s="23" t="s">
        <v>91</v>
      </c>
      <c r="M14" s="23" t="s">
        <v>68</v>
      </c>
      <c r="N14" s="23" t="s">
        <v>73</v>
      </c>
      <c r="O14" s="23" t="s">
        <v>12</v>
      </c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</row>
    <row r="15" spans="1:30" s="13" customFormat="1" ht="21.75" customHeight="1">
      <c r="A15" s="23" t="s">
        <v>46</v>
      </c>
      <c r="B15" s="173" t="s">
        <v>47</v>
      </c>
      <c r="C15" s="174"/>
      <c r="D15" s="194"/>
      <c r="E15" s="176"/>
      <c r="F15" s="127" t="s">
        <v>48</v>
      </c>
      <c r="G15" s="176"/>
      <c r="H15" s="194"/>
      <c r="I15" s="127" t="s">
        <v>33</v>
      </c>
      <c r="J15" s="127" t="s">
        <v>69</v>
      </c>
      <c r="K15" s="127" t="s">
        <v>70</v>
      </c>
      <c r="L15" s="127" t="s">
        <v>72</v>
      </c>
      <c r="M15" s="127" t="s">
        <v>71</v>
      </c>
      <c r="N15" s="128" t="s">
        <v>74</v>
      </c>
      <c r="O15" s="127" t="s">
        <v>49</v>
      </c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</row>
    <row r="16" spans="1:30" s="13" customFormat="1" ht="24" customHeight="1">
      <c r="A16" s="25">
        <v>1</v>
      </c>
      <c r="B16" s="195" t="s">
        <v>64</v>
      </c>
      <c r="C16" s="174"/>
      <c r="D16" s="25" t="s">
        <v>82</v>
      </c>
      <c r="E16" s="25">
        <v>40</v>
      </c>
      <c r="F16" s="119" t="s">
        <v>75</v>
      </c>
      <c r="G16" s="25" t="s">
        <v>59</v>
      </c>
      <c r="H16" s="25" t="s">
        <v>78</v>
      </c>
      <c r="I16" s="26">
        <v>46178</v>
      </c>
      <c r="J16" s="27"/>
      <c r="K16" s="27"/>
      <c r="L16" s="27"/>
      <c r="M16" s="27">
        <v>100</v>
      </c>
      <c r="N16" s="27"/>
      <c r="O16" s="29">
        <f>SUM(J16:M16)-N16</f>
        <v>100</v>
      </c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</row>
    <row r="17" spans="1:30" s="13" customFormat="1" ht="24" customHeight="1">
      <c r="A17" s="25">
        <v>2</v>
      </c>
      <c r="B17" s="195" t="s">
        <v>64</v>
      </c>
      <c r="C17" s="174"/>
      <c r="D17" s="25" t="s">
        <v>83</v>
      </c>
      <c r="E17" s="25">
        <v>40</v>
      </c>
      <c r="F17" s="119" t="s">
        <v>88</v>
      </c>
      <c r="G17" s="25" t="s">
        <v>59</v>
      </c>
      <c r="H17" s="25" t="s">
        <v>79</v>
      </c>
      <c r="I17" s="26">
        <v>46178</v>
      </c>
      <c r="J17" s="27"/>
      <c r="K17" s="27"/>
      <c r="L17" s="27"/>
      <c r="M17" s="27">
        <v>200</v>
      </c>
      <c r="N17" s="27"/>
      <c r="O17" s="29">
        <f t="shared" ref="O17:O24" si="0">SUM(J17:M17)-N17</f>
        <v>200</v>
      </c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0" s="13" customFormat="1" ht="24" customHeight="1">
      <c r="A18" s="25">
        <v>3</v>
      </c>
      <c r="B18" s="195" t="s">
        <v>64</v>
      </c>
      <c r="C18" s="174"/>
      <c r="D18" s="25" t="s">
        <v>84</v>
      </c>
      <c r="E18" s="25">
        <v>40</v>
      </c>
      <c r="F18" s="119" t="s">
        <v>65</v>
      </c>
      <c r="G18" s="25" t="s">
        <v>59</v>
      </c>
      <c r="H18" s="25" t="s">
        <v>78</v>
      </c>
      <c r="I18" s="26">
        <v>46178</v>
      </c>
      <c r="J18" s="27"/>
      <c r="K18" s="27"/>
      <c r="L18" s="27"/>
      <c r="M18" s="27">
        <v>100</v>
      </c>
      <c r="N18" s="27"/>
      <c r="O18" s="29">
        <f t="shared" si="0"/>
        <v>100</v>
      </c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0" s="13" customFormat="1" ht="24" customHeight="1">
      <c r="A19" s="25">
        <v>4</v>
      </c>
      <c r="B19" s="195" t="s">
        <v>76</v>
      </c>
      <c r="C19" s="174"/>
      <c r="D19" s="25" t="s">
        <v>85</v>
      </c>
      <c r="E19" s="25">
        <v>40</v>
      </c>
      <c r="F19" s="119" t="s">
        <v>75</v>
      </c>
      <c r="G19" s="25" t="s">
        <v>59</v>
      </c>
      <c r="H19" s="25" t="s">
        <v>80</v>
      </c>
      <c r="I19" s="26">
        <v>46179</v>
      </c>
      <c r="J19" s="27">
        <v>1284</v>
      </c>
      <c r="K19" s="27">
        <v>250</v>
      </c>
      <c r="L19" s="27"/>
      <c r="M19" s="27">
        <v>100</v>
      </c>
      <c r="N19" s="27">
        <v>36</v>
      </c>
      <c r="O19" s="29">
        <f t="shared" si="0"/>
        <v>1598</v>
      </c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1:30" s="13" customFormat="1" ht="24" customHeight="1">
      <c r="A20" s="25">
        <v>5</v>
      </c>
      <c r="B20" s="195" t="s">
        <v>64</v>
      </c>
      <c r="C20" s="174"/>
      <c r="D20" s="25" t="s">
        <v>86</v>
      </c>
      <c r="E20" s="25">
        <v>20</v>
      </c>
      <c r="F20" s="119" t="s">
        <v>89</v>
      </c>
      <c r="G20" s="25" t="s">
        <v>59</v>
      </c>
      <c r="H20" s="25" t="s">
        <v>81</v>
      </c>
      <c r="I20" s="26">
        <v>46179</v>
      </c>
      <c r="J20" s="27">
        <v>695.5</v>
      </c>
      <c r="K20" s="27">
        <v>270</v>
      </c>
      <c r="L20" s="27">
        <v>2123.5500000000002</v>
      </c>
      <c r="M20" s="27"/>
      <c r="N20" s="27"/>
      <c r="O20" s="29">
        <f t="shared" si="0"/>
        <v>3089.05</v>
      </c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s="13" customFormat="1" ht="24" customHeight="1">
      <c r="A21" s="25">
        <v>6</v>
      </c>
      <c r="B21" s="195" t="s">
        <v>76</v>
      </c>
      <c r="C21" s="174"/>
      <c r="D21" s="25" t="s">
        <v>87</v>
      </c>
      <c r="E21" s="25">
        <v>40</v>
      </c>
      <c r="F21" s="119" t="s">
        <v>90</v>
      </c>
      <c r="G21" s="25" t="s">
        <v>59</v>
      </c>
      <c r="H21" s="25" t="s">
        <v>80</v>
      </c>
      <c r="I21" s="26">
        <v>46179</v>
      </c>
      <c r="J21" s="27">
        <v>1284</v>
      </c>
      <c r="K21" s="27">
        <v>250</v>
      </c>
      <c r="L21" s="27"/>
      <c r="M21" s="27">
        <v>100</v>
      </c>
      <c r="N21" s="27">
        <v>36</v>
      </c>
      <c r="O21" s="29">
        <f t="shared" si="0"/>
        <v>1598</v>
      </c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s="13" customFormat="1" ht="24" customHeight="1">
      <c r="A22" s="25"/>
      <c r="B22" s="195"/>
      <c r="C22" s="174"/>
      <c r="D22" s="25"/>
      <c r="E22" s="25"/>
      <c r="F22" s="25"/>
      <c r="G22" s="25"/>
      <c r="H22" s="25"/>
      <c r="I22" s="26"/>
      <c r="J22" s="27"/>
      <c r="K22" s="27"/>
      <c r="L22" s="27"/>
      <c r="M22" s="27"/>
      <c r="N22" s="27"/>
      <c r="O22" s="29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s="13" customFormat="1" ht="24" customHeight="1">
      <c r="A23" s="25"/>
      <c r="B23" s="195"/>
      <c r="C23" s="174"/>
      <c r="D23" s="25"/>
      <c r="E23" s="25"/>
      <c r="F23" s="25"/>
      <c r="G23" s="25"/>
      <c r="H23" s="25"/>
      <c r="I23" s="26"/>
      <c r="J23" s="27"/>
      <c r="K23" s="27"/>
      <c r="L23" s="27"/>
      <c r="M23" s="27"/>
      <c r="N23" s="27"/>
      <c r="O23" s="29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s="13" customFormat="1" ht="24" customHeight="1">
      <c r="A24" s="25"/>
      <c r="B24" s="195"/>
      <c r="C24" s="174"/>
      <c r="D24" s="25"/>
      <c r="E24" s="25"/>
      <c r="F24" s="25"/>
      <c r="G24" s="25"/>
      <c r="H24" s="25"/>
      <c r="I24" s="26"/>
      <c r="J24" s="27"/>
      <c r="K24" s="27"/>
      <c r="L24" s="27"/>
      <c r="M24" s="27"/>
      <c r="N24" s="27"/>
      <c r="O24" s="29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s="13" customFormat="1" ht="24" customHeight="1">
      <c r="A25" s="25"/>
      <c r="B25" s="195"/>
      <c r="C25" s="174"/>
      <c r="D25" s="25"/>
      <c r="E25" s="25"/>
      <c r="F25" s="25"/>
      <c r="G25" s="25"/>
      <c r="H25" s="25"/>
      <c r="I25" s="26"/>
      <c r="J25" s="27"/>
      <c r="K25" s="27"/>
      <c r="L25" s="27"/>
      <c r="M25" s="27"/>
      <c r="N25" s="27"/>
      <c r="O25" s="29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s="13" customFormat="1" ht="24" customHeight="1">
      <c r="A26" s="196" t="str">
        <f>BAHTTEXT(M26)</f>
        <v>หกร้อยบาทถ้วน</v>
      </c>
      <c r="B26" s="197"/>
      <c r="C26" s="197"/>
      <c r="D26" s="197"/>
      <c r="E26" s="197"/>
      <c r="F26" s="197"/>
      <c r="G26" s="197"/>
      <c r="H26" s="197"/>
      <c r="I26" s="197"/>
      <c r="J26" s="124">
        <f t="shared" ref="J26:O26" si="1">SUM(J16:J25)</f>
        <v>3263.5</v>
      </c>
      <c r="K26" s="124">
        <f t="shared" si="1"/>
        <v>770</v>
      </c>
      <c r="L26" s="124">
        <f t="shared" si="1"/>
        <v>2123.5500000000002</v>
      </c>
      <c r="M26" s="124">
        <f t="shared" si="1"/>
        <v>600</v>
      </c>
      <c r="N26" s="124">
        <f t="shared" si="1"/>
        <v>72</v>
      </c>
      <c r="O26" s="124">
        <f t="shared" si="1"/>
        <v>6685.05</v>
      </c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s="13" customFormat="1" ht="16.5" customHeight="1">
      <c r="A27" s="123"/>
      <c r="B27" s="182"/>
      <c r="C27" s="198"/>
      <c r="D27" s="33"/>
      <c r="E27" s="33"/>
      <c r="F27" s="33"/>
      <c r="G27" s="33"/>
      <c r="H27" s="33"/>
      <c r="I27" s="33"/>
      <c r="J27" s="33"/>
      <c r="K27" s="33"/>
      <c r="L27" s="33"/>
      <c r="M27" s="34"/>
      <c r="N27" s="34"/>
      <c r="O27" s="35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s="13" customFormat="1" ht="16.5" customHeight="1">
      <c r="A28" s="32"/>
      <c r="B28" s="182"/>
      <c r="C28" s="171"/>
      <c r="D28" s="33"/>
      <c r="E28" s="33"/>
      <c r="F28" s="33"/>
      <c r="G28" s="33"/>
      <c r="H28" s="33"/>
      <c r="I28" s="33"/>
      <c r="J28" s="33"/>
      <c r="K28" s="33"/>
      <c r="L28" s="33"/>
      <c r="M28" s="34"/>
      <c r="N28" s="34"/>
      <c r="O28" s="35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s="13" customFormat="1" ht="16.5" customHeight="1">
      <c r="A29" s="32"/>
      <c r="B29" s="182"/>
      <c r="C29" s="171"/>
      <c r="D29" s="33"/>
      <c r="E29" s="33"/>
      <c r="F29" s="33"/>
      <c r="G29" s="33"/>
      <c r="H29" s="33"/>
      <c r="I29" s="33"/>
      <c r="J29" s="33"/>
      <c r="K29" s="33"/>
      <c r="L29" s="33"/>
      <c r="M29" s="34"/>
      <c r="N29" s="34"/>
      <c r="O29" s="35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s="13" customFormat="1" ht="23.25" customHeight="1">
      <c r="A30" s="183" t="s">
        <v>51</v>
      </c>
      <c r="B30" s="171"/>
      <c r="C30" s="171"/>
      <c r="D30" s="171"/>
      <c r="E30" s="37"/>
      <c r="F30" s="12"/>
      <c r="G30" s="12"/>
      <c r="H30" s="12"/>
      <c r="I30" s="12"/>
      <c r="J30" s="12"/>
      <c r="K30" s="12"/>
      <c r="L30" s="12"/>
      <c r="M30" s="187"/>
      <c r="N30" s="187"/>
      <c r="O30" s="172"/>
      <c r="P30" s="38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s="13" customFormat="1" ht="45" customHeight="1">
      <c r="A31" s="39" t="s">
        <v>52</v>
      </c>
      <c r="B31" s="193">
        <f>O8</f>
        <v>46183</v>
      </c>
      <c r="C31" s="171"/>
      <c r="D31" s="40"/>
      <c r="E31" s="40"/>
      <c r="F31" s="40"/>
      <c r="G31" s="40"/>
      <c r="H31" s="40"/>
      <c r="I31" s="40"/>
      <c r="J31" s="40"/>
      <c r="K31" s="40"/>
      <c r="L31" s="40"/>
      <c r="M31" s="187"/>
      <c r="N31" s="187"/>
      <c r="O31" s="172"/>
      <c r="P31" s="38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s="13" customFormat="1" ht="20.25" customHeight="1">
      <c r="A32" s="36"/>
      <c r="B32" s="188"/>
      <c r="C32" s="171"/>
      <c r="D32" s="37"/>
      <c r="E32" s="37"/>
      <c r="F32" s="40"/>
      <c r="G32" s="40"/>
      <c r="H32" s="40"/>
      <c r="I32" s="40"/>
      <c r="J32" s="40"/>
      <c r="K32" s="40"/>
      <c r="L32" s="40"/>
      <c r="M32" s="37"/>
      <c r="N32" s="37"/>
      <c r="O32" s="41"/>
      <c r="P32" s="38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s="13" customFormat="1" ht="13.5" customHeight="1">
      <c r="A33" s="39"/>
      <c r="B33" s="189"/>
      <c r="C33" s="171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4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s="13" customFormat="1" ht="21" customHeight="1">
      <c r="A34" s="190" t="s">
        <v>57</v>
      </c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  <c r="O34" s="17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s="13" customFormat="1" ht="21.75" customHeight="1">
      <c r="A35" s="191" t="s">
        <v>53</v>
      </c>
      <c r="B35" s="192"/>
      <c r="C35" s="192"/>
      <c r="D35" s="192"/>
      <c r="E35" s="192"/>
      <c r="F35" s="192"/>
      <c r="G35" s="192"/>
      <c r="H35" s="192"/>
      <c r="I35" s="192"/>
      <c r="J35" s="192"/>
      <c r="K35" s="192"/>
      <c r="L35" s="192"/>
      <c r="M35" s="192"/>
      <c r="N35" s="192"/>
      <c r="O35" s="167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21" customHeight="1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</row>
    <row r="37" spans="1:30" ht="21" customHeight="1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30" ht="21" customHeight="1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30" ht="21" customHeight="1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30" ht="21" customHeight="1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30" ht="21" customHeight="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</row>
    <row r="42" spans="1:30" ht="21" customHeight="1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</row>
    <row r="43" spans="1:30" ht="21" customHeight="1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</row>
    <row r="44" spans="1:30" ht="21" customHeight="1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</row>
    <row r="45" spans="1:30" ht="21" customHeight="1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</row>
    <row r="46" spans="1:30" ht="21" customHeight="1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</row>
    <row r="47" spans="1:30" ht="21" customHeight="1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</row>
    <row r="48" spans="1:30" ht="21" customHeight="1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</row>
    <row r="49" spans="1:30" ht="21" customHeight="1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</row>
    <row r="50" spans="1:30" ht="21" customHeight="1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</row>
    <row r="51" spans="1:30" ht="21" customHeight="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</row>
    <row r="52" spans="1:30" ht="21" customHeight="1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</row>
    <row r="53" spans="1:30" ht="21" customHeight="1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</row>
    <row r="54" spans="1:30" ht="21" customHeight="1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</row>
    <row r="55" spans="1:30" ht="21" customHeight="1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</row>
    <row r="56" spans="1:30" ht="21" customHeight="1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</row>
    <row r="57" spans="1:30" ht="21" customHeight="1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</row>
    <row r="58" spans="1:30" ht="21" customHeight="1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</row>
    <row r="59" spans="1:30" ht="21" customHeight="1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</row>
    <row r="60" spans="1:30" ht="21" customHeight="1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</row>
    <row r="61" spans="1:30" ht="21" customHeight="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</row>
    <row r="62" spans="1:30" ht="21" customHeight="1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</row>
    <row r="63" spans="1:30" ht="21" customHeight="1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</row>
    <row r="64" spans="1:30" ht="21" customHeight="1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</row>
    <row r="65" spans="1:30" ht="21" customHeight="1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</row>
    <row r="66" spans="1:30" ht="21" customHeight="1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</row>
    <row r="67" spans="1:30" ht="21" customHeight="1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</row>
    <row r="68" spans="1:30" ht="21" customHeight="1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</row>
    <row r="69" spans="1:30" ht="21" customHeight="1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</row>
    <row r="70" spans="1:30" ht="21" customHeight="1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</row>
    <row r="71" spans="1:30" ht="21" customHeight="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</row>
    <row r="72" spans="1:30" ht="21" customHeight="1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</row>
    <row r="73" spans="1:30" ht="21" customHeight="1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</row>
    <row r="74" spans="1:30" ht="21" customHeight="1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</row>
    <row r="75" spans="1:30" ht="21" customHeight="1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</row>
    <row r="76" spans="1:30" ht="21" customHeight="1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</row>
    <row r="77" spans="1:30" ht="21" customHeight="1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</row>
    <row r="78" spans="1:30" ht="21" customHeight="1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</row>
    <row r="79" spans="1:30" ht="21" customHeight="1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</row>
    <row r="80" spans="1:30" ht="21" customHeight="1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</row>
    <row r="81" spans="1:30" ht="21" customHeight="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</row>
    <row r="82" spans="1:30" ht="21" customHeight="1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</row>
    <row r="83" spans="1:30" ht="21" customHeight="1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</row>
    <row r="84" spans="1:30" ht="21" customHeight="1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</row>
    <row r="85" spans="1:30" ht="21" customHeight="1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</row>
    <row r="86" spans="1:30" ht="21" customHeight="1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</row>
    <row r="87" spans="1:30" ht="21" customHeight="1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</row>
    <row r="88" spans="1:30" ht="21" customHeight="1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</row>
    <row r="89" spans="1:30" ht="21" customHeight="1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</row>
    <row r="90" spans="1:30" ht="21" customHeight="1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</row>
    <row r="91" spans="1:30" ht="21" customHeight="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</row>
    <row r="92" spans="1:30" ht="21" customHeight="1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</row>
    <row r="93" spans="1:30" ht="21" customHeight="1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</row>
    <row r="94" spans="1:30" ht="21" customHeight="1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</row>
    <row r="95" spans="1:30" ht="21" customHeight="1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</row>
    <row r="96" spans="1:30" ht="21" customHeight="1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</row>
    <row r="97" spans="1:30" ht="21" customHeight="1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</row>
    <row r="98" spans="1:30" ht="21" customHeight="1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</row>
    <row r="99" spans="1:30" ht="21" customHeight="1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</row>
    <row r="100" spans="1:30" ht="21" customHeight="1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</row>
    <row r="101" spans="1:30" ht="21" customHeight="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</row>
    <row r="102" spans="1:30" ht="21" customHeight="1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</row>
    <row r="103" spans="1:30" ht="21" customHeight="1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</row>
    <row r="104" spans="1:30" ht="21" customHeight="1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</row>
    <row r="105" spans="1:30" ht="21" customHeight="1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</row>
    <row r="106" spans="1:30" ht="21" customHeight="1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</row>
    <row r="107" spans="1:30" ht="21" customHeight="1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</row>
    <row r="108" spans="1:30" ht="21" customHeight="1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</row>
    <row r="109" spans="1:30" ht="21" customHeight="1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</row>
    <row r="110" spans="1:30" ht="21" customHeight="1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</row>
    <row r="111" spans="1:30" ht="21" customHeight="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</row>
    <row r="112" spans="1:30" ht="21" customHeight="1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</row>
    <row r="113" spans="1:30" ht="21" customHeight="1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</row>
    <row r="114" spans="1:30" ht="21" customHeight="1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</row>
    <row r="115" spans="1:30" ht="21" customHeight="1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</row>
    <row r="116" spans="1:30" ht="21" customHeight="1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</row>
    <row r="117" spans="1:30" ht="21" customHeight="1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</row>
    <row r="118" spans="1:30" ht="21" customHeight="1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</row>
    <row r="119" spans="1:30" ht="21" customHeight="1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</row>
    <row r="120" spans="1:30" ht="21" customHeight="1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</row>
    <row r="121" spans="1:30" ht="21" customHeight="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</row>
    <row r="122" spans="1:30" ht="21" customHeight="1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</row>
    <row r="123" spans="1:30" ht="21" customHeight="1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</row>
    <row r="124" spans="1:30" ht="21" customHeight="1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</row>
    <row r="125" spans="1:30" ht="21" customHeight="1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</row>
    <row r="126" spans="1:30" ht="21" customHeight="1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</row>
    <row r="127" spans="1:30" ht="21" customHeight="1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</row>
    <row r="128" spans="1:30" ht="21" customHeight="1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</row>
    <row r="129" spans="1:30" ht="21" customHeight="1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</row>
    <row r="130" spans="1:30" ht="21" customHeight="1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</row>
    <row r="131" spans="1:30" ht="21" customHeight="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</row>
    <row r="132" spans="1:30" ht="21" customHeight="1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</row>
    <row r="133" spans="1:30" ht="21" customHeight="1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</row>
    <row r="134" spans="1:30" ht="21" customHeight="1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</row>
    <row r="135" spans="1:30" ht="21" customHeight="1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</row>
    <row r="136" spans="1:30" ht="21" customHeight="1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</row>
    <row r="137" spans="1:30" ht="21" customHeight="1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</row>
    <row r="138" spans="1:30" ht="21" customHeight="1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</row>
    <row r="139" spans="1:30" ht="21" customHeight="1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</row>
    <row r="140" spans="1:30" ht="21" customHeight="1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</row>
    <row r="141" spans="1:30" ht="21" customHeight="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</row>
    <row r="142" spans="1:30" ht="21" customHeight="1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</row>
    <row r="143" spans="1:30" ht="21" customHeight="1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</row>
    <row r="144" spans="1:30" ht="21" customHeight="1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</row>
    <row r="145" spans="1:30" ht="21" customHeight="1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</row>
    <row r="146" spans="1:30" ht="21" customHeight="1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</row>
    <row r="147" spans="1:30" ht="21" customHeight="1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</row>
    <row r="148" spans="1:30" ht="21" customHeight="1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</row>
    <row r="149" spans="1:30" ht="21" customHeight="1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</row>
    <row r="150" spans="1:30" ht="21" customHeight="1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</row>
    <row r="151" spans="1:30" ht="21" customHeight="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</row>
    <row r="152" spans="1:30" ht="21" customHeight="1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</row>
    <row r="153" spans="1:30" ht="21" customHeight="1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</row>
    <row r="154" spans="1:30" ht="21" customHeight="1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</row>
    <row r="155" spans="1:30" ht="21" customHeight="1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</row>
    <row r="156" spans="1:30" ht="21" customHeight="1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</row>
    <row r="157" spans="1:30" ht="21" customHeight="1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</row>
    <row r="158" spans="1:30" ht="21" customHeight="1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</row>
    <row r="159" spans="1:30" ht="21" customHeight="1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</row>
    <row r="160" spans="1:30" ht="21" customHeight="1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</row>
    <row r="161" spans="1:30" ht="21" customHeight="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</row>
    <row r="162" spans="1:30" ht="21" customHeight="1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</row>
    <row r="163" spans="1:30" ht="21" customHeight="1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</row>
    <row r="164" spans="1:30" ht="21" customHeight="1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</row>
    <row r="165" spans="1:30" ht="21" customHeight="1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</row>
    <row r="166" spans="1:30" ht="21" customHeight="1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</row>
    <row r="167" spans="1:30" ht="21" customHeight="1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</row>
    <row r="168" spans="1:30" ht="21" customHeight="1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</row>
    <row r="169" spans="1:30" ht="21" customHeight="1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</row>
    <row r="170" spans="1:30" ht="21" customHeight="1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</row>
    <row r="171" spans="1:30" ht="21" customHeight="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</row>
    <row r="172" spans="1:30" ht="21" customHeight="1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</row>
    <row r="173" spans="1:30" ht="21" customHeight="1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</row>
    <row r="174" spans="1:30" ht="21" customHeight="1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</row>
    <row r="175" spans="1:30" ht="21" customHeight="1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</row>
    <row r="176" spans="1:30" ht="21" customHeight="1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</row>
    <row r="177" spans="1:30" ht="21" customHeight="1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</row>
    <row r="178" spans="1:30" ht="21" customHeight="1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</row>
    <row r="179" spans="1:30" ht="21" customHeight="1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</row>
    <row r="180" spans="1:30" ht="21" customHeight="1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</row>
    <row r="181" spans="1:30" ht="21" customHeight="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</row>
    <row r="182" spans="1:30" ht="21" customHeight="1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</row>
    <row r="183" spans="1:30" ht="21" customHeight="1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</row>
    <row r="184" spans="1:30" ht="21" customHeight="1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</row>
    <row r="185" spans="1:30" ht="21" customHeight="1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</row>
    <row r="186" spans="1:30" ht="21" customHeight="1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</row>
    <row r="187" spans="1:30" ht="21" customHeight="1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</row>
    <row r="188" spans="1:30" ht="21" customHeight="1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</row>
    <row r="189" spans="1:30" ht="21" customHeight="1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</row>
    <row r="190" spans="1:30" ht="21" customHeight="1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</row>
    <row r="191" spans="1:30" ht="21" customHeight="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</row>
    <row r="192" spans="1:30" ht="21" customHeight="1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</row>
    <row r="193" spans="1:30" ht="21" customHeight="1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</row>
    <row r="194" spans="1:30" ht="21" customHeight="1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</row>
    <row r="195" spans="1:30" ht="21" customHeight="1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</row>
    <row r="196" spans="1:30" ht="21" customHeight="1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</row>
    <row r="197" spans="1:30" ht="21" customHeight="1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</row>
    <row r="198" spans="1:30" ht="21" customHeight="1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</row>
    <row r="199" spans="1:30" ht="21" customHeight="1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</row>
    <row r="200" spans="1:30" ht="21" customHeight="1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</row>
    <row r="201" spans="1:30" ht="21" customHeight="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</row>
    <row r="202" spans="1:30" ht="21" customHeight="1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</row>
    <row r="203" spans="1:30" ht="21" customHeight="1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</row>
    <row r="204" spans="1:30" ht="21" customHeight="1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</row>
    <row r="205" spans="1:30" ht="21" customHeight="1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</row>
    <row r="206" spans="1:30" ht="21" customHeight="1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</row>
    <row r="207" spans="1:30" ht="21" customHeight="1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</row>
    <row r="208" spans="1:30" ht="21" customHeight="1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</row>
    <row r="209" spans="1:30" ht="21" customHeight="1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</row>
    <row r="210" spans="1:30" ht="21" customHeight="1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</row>
    <row r="211" spans="1:30" ht="21" customHeight="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</row>
    <row r="212" spans="1:30" ht="21" customHeight="1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</row>
    <row r="213" spans="1:30" ht="21" customHeight="1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</row>
    <row r="214" spans="1:30" ht="21" customHeight="1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</row>
    <row r="215" spans="1:30" ht="21" customHeight="1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</row>
    <row r="216" spans="1:30" ht="21" customHeight="1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</row>
    <row r="217" spans="1:30" ht="21" customHeight="1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</row>
    <row r="218" spans="1:30" ht="21" customHeight="1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</row>
    <row r="219" spans="1:30" ht="21" customHeight="1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</row>
    <row r="220" spans="1:30" ht="21" customHeight="1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</row>
    <row r="221" spans="1:30" ht="21" customHeight="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</row>
    <row r="222" spans="1:30" ht="21" customHeight="1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</row>
    <row r="223" spans="1:30" ht="21" customHeight="1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</row>
    <row r="224" spans="1:30" ht="21" customHeight="1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</row>
    <row r="225" spans="1:30" ht="21" customHeight="1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</row>
    <row r="226" spans="1:30" ht="21" customHeight="1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</row>
    <row r="227" spans="1:30" ht="21" customHeight="1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</row>
    <row r="228" spans="1:30" ht="21" customHeight="1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</row>
    <row r="229" spans="1:30" ht="21" customHeight="1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</row>
    <row r="230" spans="1:30" ht="21" customHeight="1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</row>
    <row r="231" spans="1:30" ht="21" customHeight="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</row>
    <row r="232" spans="1:30" ht="21" customHeight="1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</row>
    <row r="233" spans="1:30" ht="21" customHeight="1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</row>
    <row r="234" spans="1:30" ht="21" customHeight="1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</row>
    <row r="235" spans="1:30" ht="21" customHeight="1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</row>
    <row r="236" spans="1:30" ht="21" customHeight="1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</row>
    <row r="237" spans="1:30" ht="21" customHeight="1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</row>
    <row r="238" spans="1:30" ht="21" customHeight="1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</row>
    <row r="239" spans="1:30" ht="21" customHeight="1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</row>
    <row r="240" spans="1:30" ht="21" customHeight="1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</row>
    <row r="241" spans="1:30" ht="21" customHeight="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</row>
    <row r="242" spans="1:30" ht="21" customHeight="1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</row>
    <row r="243" spans="1:30" ht="21" customHeight="1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</row>
    <row r="244" spans="1:30" ht="21" customHeight="1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</row>
    <row r="245" spans="1:30" ht="21" customHeight="1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</row>
    <row r="246" spans="1:30" ht="21" customHeight="1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</row>
    <row r="247" spans="1:30" ht="21" customHeight="1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</row>
    <row r="248" spans="1:30" ht="21" customHeight="1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</row>
    <row r="249" spans="1:30" ht="21" customHeight="1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</row>
    <row r="250" spans="1:30" ht="21" customHeight="1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</row>
    <row r="251" spans="1:30" ht="21" customHeight="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</row>
    <row r="252" spans="1:30" ht="21" customHeight="1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</row>
    <row r="253" spans="1:30" ht="21" customHeight="1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</row>
    <row r="254" spans="1:30" ht="21" customHeight="1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</row>
    <row r="255" spans="1:30" ht="21" customHeight="1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</row>
    <row r="256" spans="1:30" ht="21" customHeight="1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</row>
    <row r="257" spans="1:30" ht="21" customHeight="1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</row>
    <row r="258" spans="1:30" ht="21" customHeight="1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</row>
    <row r="259" spans="1:30" ht="21" customHeight="1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</row>
    <row r="260" spans="1:30" ht="21" customHeight="1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</row>
    <row r="261" spans="1:30" ht="21" customHeight="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</row>
    <row r="262" spans="1:30" ht="21" customHeight="1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</row>
    <row r="263" spans="1:30" ht="21" customHeight="1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</row>
    <row r="264" spans="1:30" ht="21" customHeight="1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</row>
    <row r="265" spans="1:30" ht="21" customHeight="1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</row>
    <row r="266" spans="1:30" ht="21" customHeight="1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</row>
    <row r="267" spans="1:30" ht="21" customHeight="1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</row>
    <row r="268" spans="1:30" ht="21" customHeight="1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</row>
    <row r="269" spans="1:30" ht="21" customHeight="1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</row>
    <row r="270" spans="1:30" ht="21" customHeight="1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</row>
    <row r="271" spans="1:30" ht="21" customHeight="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</row>
    <row r="272" spans="1:30" ht="21" customHeight="1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</row>
    <row r="273" spans="1:30" ht="21" customHeight="1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</row>
    <row r="274" spans="1:30" ht="21" customHeight="1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</row>
    <row r="275" spans="1:30" ht="21" customHeight="1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</row>
    <row r="276" spans="1:30" ht="21" customHeight="1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</row>
    <row r="277" spans="1:30" ht="21" customHeight="1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</row>
    <row r="278" spans="1:30" ht="21" customHeight="1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</row>
    <row r="279" spans="1:30" ht="21" customHeight="1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</row>
    <row r="280" spans="1:30" ht="21" customHeight="1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</row>
    <row r="281" spans="1:30" ht="21" customHeight="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</row>
    <row r="282" spans="1:30" ht="21" customHeight="1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</row>
    <row r="283" spans="1:30" ht="21" customHeight="1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</row>
    <row r="284" spans="1:30" ht="21" customHeight="1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</row>
    <row r="285" spans="1:30" ht="21" customHeight="1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</row>
    <row r="286" spans="1:30" ht="21" customHeight="1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</row>
    <row r="287" spans="1:30" ht="21" customHeight="1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</row>
    <row r="288" spans="1:30" ht="21" customHeight="1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</row>
    <row r="289" spans="1:30" ht="21" customHeight="1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</row>
    <row r="290" spans="1:30" ht="21" customHeight="1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</row>
    <row r="291" spans="1:30" ht="21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</row>
    <row r="292" spans="1:30" ht="21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</row>
    <row r="293" spans="1:30" ht="21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</row>
    <row r="294" spans="1:30" ht="21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</row>
    <row r="295" spans="1:30" ht="21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</row>
    <row r="296" spans="1:30" ht="21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</row>
    <row r="297" spans="1:30" ht="21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</row>
    <row r="298" spans="1:30" ht="21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</row>
    <row r="299" spans="1:30" ht="21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</row>
    <row r="300" spans="1:30" ht="21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</row>
    <row r="301" spans="1:30" ht="21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</row>
    <row r="302" spans="1:30" ht="21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</row>
    <row r="303" spans="1:30" ht="21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</row>
    <row r="304" spans="1:30" ht="21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</row>
    <row r="305" spans="1:30" ht="21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</row>
    <row r="306" spans="1:30" ht="21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</row>
    <row r="307" spans="1:30" ht="21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</row>
    <row r="308" spans="1:30" ht="21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</row>
    <row r="309" spans="1:30" ht="21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</row>
    <row r="310" spans="1:30" ht="21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</row>
    <row r="311" spans="1:30" ht="21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</row>
    <row r="312" spans="1:30" ht="21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</row>
    <row r="313" spans="1:30" ht="21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</row>
    <row r="314" spans="1:30" ht="21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</row>
    <row r="315" spans="1:30" ht="21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</row>
    <row r="316" spans="1:30" ht="21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</row>
    <row r="317" spans="1:30" ht="21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</row>
    <row r="318" spans="1:30" ht="21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</row>
    <row r="319" spans="1:30" ht="21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</row>
    <row r="320" spans="1:30" ht="21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</row>
    <row r="321" spans="1:30" ht="21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</row>
    <row r="322" spans="1:30" ht="21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</row>
    <row r="323" spans="1:30" ht="21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</row>
    <row r="324" spans="1:30" ht="21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</row>
    <row r="325" spans="1:30" ht="21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</row>
    <row r="326" spans="1:30" ht="21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</row>
    <row r="327" spans="1:30" ht="21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</row>
    <row r="328" spans="1:30" ht="21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</row>
    <row r="329" spans="1:30" ht="21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</row>
    <row r="330" spans="1:30" ht="21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</row>
    <row r="331" spans="1:30" ht="21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</row>
    <row r="332" spans="1:30" ht="21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</row>
    <row r="333" spans="1:30" ht="21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</row>
    <row r="334" spans="1:30" ht="21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</row>
    <row r="335" spans="1:30" ht="21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</row>
    <row r="336" spans="1:30" ht="21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</row>
    <row r="337" spans="1:30" ht="21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</row>
    <row r="338" spans="1:30" ht="21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</row>
    <row r="339" spans="1:30" ht="21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</row>
    <row r="340" spans="1:30" ht="21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</row>
    <row r="341" spans="1:30" ht="21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</row>
    <row r="342" spans="1:30" ht="21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</row>
    <row r="343" spans="1:30" ht="21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</row>
    <row r="344" spans="1:30" ht="21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</row>
    <row r="345" spans="1:30" ht="21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</row>
    <row r="346" spans="1:30" ht="21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</row>
    <row r="347" spans="1:30" ht="21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</row>
    <row r="348" spans="1:30" ht="21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</row>
    <row r="349" spans="1:30" ht="21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</row>
    <row r="350" spans="1:30" ht="21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</row>
    <row r="351" spans="1:30" ht="21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</row>
    <row r="352" spans="1:30" ht="21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</row>
    <row r="353" spans="1:30" ht="21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</row>
    <row r="354" spans="1:30" ht="21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</row>
    <row r="355" spans="1:30" ht="21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</row>
    <row r="356" spans="1:30" ht="21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</row>
    <row r="357" spans="1:30" ht="21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</row>
    <row r="358" spans="1:30" ht="21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</row>
    <row r="359" spans="1:30" ht="21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</row>
    <row r="360" spans="1:30" ht="21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</row>
    <row r="361" spans="1:30" ht="21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</row>
    <row r="362" spans="1:30" ht="21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</row>
    <row r="363" spans="1:30" ht="21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</row>
    <row r="364" spans="1:30" ht="21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</row>
    <row r="365" spans="1:30" ht="21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</row>
    <row r="366" spans="1:30" ht="21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</row>
    <row r="367" spans="1:30" ht="21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</row>
    <row r="368" spans="1:30" ht="21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</row>
    <row r="369" spans="1:30" ht="21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</row>
    <row r="370" spans="1:30" ht="21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</row>
    <row r="371" spans="1:30" ht="21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</row>
    <row r="372" spans="1:30" ht="21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</row>
    <row r="373" spans="1:30" ht="21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</row>
    <row r="374" spans="1:30" ht="21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</row>
    <row r="375" spans="1:30" ht="21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</row>
    <row r="376" spans="1:30" ht="21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</row>
    <row r="377" spans="1:30" ht="21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</row>
    <row r="378" spans="1:30" ht="21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</row>
    <row r="379" spans="1:30" ht="21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</row>
    <row r="380" spans="1:30" ht="21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</row>
    <row r="381" spans="1:30" ht="21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</row>
    <row r="382" spans="1:30" ht="21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</row>
    <row r="383" spans="1:30" ht="21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</row>
    <row r="384" spans="1:30" ht="21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</row>
    <row r="385" spans="1:30" ht="21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</row>
    <row r="386" spans="1:30" ht="21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</row>
    <row r="387" spans="1:30" ht="21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</row>
    <row r="388" spans="1:30" ht="21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</row>
    <row r="389" spans="1:30" ht="21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</row>
    <row r="390" spans="1:30" ht="21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</row>
    <row r="391" spans="1:30" ht="21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</row>
    <row r="392" spans="1:30" ht="21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</row>
    <row r="393" spans="1:30" ht="21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</row>
    <row r="394" spans="1:30" ht="21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</row>
    <row r="395" spans="1:30" ht="21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</row>
    <row r="396" spans="1:30" ht="21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</row>
    <row r="397" spans="1:30" ht="21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</row>
    <row r="398" spans="1:30" ht="21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</row>
    <row r="399" spans="1:30" ht="21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</row>
    <row r="400" spans="1:30" ht="21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</row>
    <row r="401" spans="1:30" ht="21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</row>
    <row r="402" spans="1:30" ht="21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</row>
    <row r="403" spans="1:30" ht="21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</row>
    <row r="404" spans="1:30" ht="21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</row>
    <row r="405" spans="1:30" ht="21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</row>
    <row r="406" spans="1:30" ht="21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</row>
    <row r="407" spans="1:30" ht="21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</row>
    <row r="408" spans="1:30" ht="21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</row>
    <row r="409" spans="1:30" ht="21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</row>
    <row r="410" spans="1:30" ht="21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</row>
    <row r="411" spans="1:30" ht="21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</row>
    <row r="412" spans="1:30" ht="21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</row>
    <row r="413" spans="1:30" ht="21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</row>
    <row r="414" spans="1:30" ht="21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</row>
    <row r="415" spans="1:30" ht="21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</row>
    <row r="416" spans="1:30" ht="21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</row>
    <row r="417" spans="1:30" ht="21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</row>
    <row r="418" spans="1:30" ht="21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</row>
    <row r="419" spans="1:30" ht="21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</row>
    <row r="420" spans="1:30" ht="21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</row>
    <row r="421" spans="1:30" ht="21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</row>
    <row r="422" spans="1:30" ht="21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</row>
    <row r="423" spans="1:30" ht="21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</row>
    <row r="424" spans="1:30" ht="21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</row>
    <row r="425" spans="1:30" ht="21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</row>
    <row r="426" spans="1:30" ht="21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</row>
    <row r="427" spans="1:30" ht="21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</row>
    <row r="428" spans="1:30" ht="21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</row>
    <row r="429" spans="1:30" ht="21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</row>
    <row r="430" spans="1:30" ht="21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</row>
    <row r="431" spans="1:30" ht="21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</row>
    <row r="432" spans="1:30" ht="21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</row>
    <row r="433" spans="1:30" ht="21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</row>
    <row r="434" spans="1:30" ht="21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</row>
    <row r="435" spans="1:30" ht="21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</row>
    <row r="436" spans="1:30" ht="21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</row>
    <row r="437" spans="1:30" ht="21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</row>
    <row r="438" spans="1:30" ht="21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</row>
    <row r="439" spans="1:30" ht="21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</row>
    <row r="440" spans="1:30" ht="21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</row>
    <row r="441" spans="1:30" ht="21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</row>
    <row r="442" spans="1:30" ht="21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</row>
    <row r="443" spans="1:30" ht="21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</row>
    <row r="444" spans="1:30" ht="21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</row>
    <row r="445" spans="1:30" ht="21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</row>
    <row r="446" spans="1:30" ht="21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</row>
    <row r="447" spans="1:30" ht="21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</row>
    <row r="448" spans="1:30" ht="21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</row>
    <row r="449" spans="1:30" ht="21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</row>
    <row r="450" spans="1:30" ht="21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</row>
    <row r="451" spans="1:30" ht="21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</row>
    <row r="452" spans="1:30" ht="21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</row>
    <row r="453" spans="1:30" ht="21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</row>
    <row r="454" spans="1:30" ht="21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</row>
    <row r="455" spans="1:30" ht="21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</row>
    <row r="456" spans="1:30" ht="21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</row>
    <row r="457" spans="1:30" ht="21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</row>
    <row r="458" spans="1:30" ht="21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</row>
    <row r="459" spans="1:30" ht="21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</row>
    <row r="460" spans="1:30" ht="21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</row>
    <row r="461" spans="1:30" ht="21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</row>
    <row r="462" spans="1:30" ht="21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</row>
    <row r="463" spans="1:30" ht="21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</row>
    <row r="464" spans="1:30" ht="21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</row>
    <row r="465" spans="1:30" ht="21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</row>
    <row r="466" spans="1:30" ht="21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</row>
    <row r="467" spans="1:30" ht="21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</row>
    <row r="468" spans="1:30" ht="21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</row>
    <row r="469" spans="1:30" ht="21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</row>
    <row r="470" spans="1:30" ht="21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</row>
    <row r="471" spans="1:30" ht="21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</row>
    <row r="472" spans="1:30" ht="21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</row>
    <row r="473" spans="1:30" ht="21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</row>
    <row r="474" spans="1:30" ht="21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</row>
    <row r="475" spans="1:30" ht="21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</row>
    <row r="476" spans="1:30" ht="21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</row>
    <row r="477" spans="1:30" ht="21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</row>
    <row r="478" spans="1:30" ht="21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</row>
    <row r="479" spans="1:30" ht="21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</row>
    <row r="480" spans="1:30" ht="21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</row>
    <row r="481" spans="1:30" ht="21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</row>
    <row r="482" spans="1:30" ht="21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</row>
    <row r="483" spans="1:30" ht="21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</row>
    <row r="484" spans="1:30" ht="21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</row>
    <row r="485" spans="1:30" ht="21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</row>
    <row r="486" spans="1:30" ht="21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</row>
    <row r="487" spans="1:30" ht="21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</row>
    <row r="488" spans="1:30" ht="21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</row>
    <row r="489" spans="1:30" ht="21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</row>
    <row r="490" spans="1:30" ht="21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</row>
    <row r="491" spans="1:30" ht="21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</row>
    <row r="492" spans="1:30" ht="21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</row>
    <row r="493" spans="1:30" ht="21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</row>
    <row r="494" spans="1:30" ht="21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</row>
    <row r="495" spans="1:30" ht="21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</row>
    <row r="496" spans="1:30" ht="21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</row>
    <row r="497" spans="1:30" ht="21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</row>
    <row r="498" spans="1:30" ht="21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</row>
    <row r="499" spans="1:30" ht="21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</row>
    <row r="500" spans="1:30" ht="21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</row>
    <row r="501" spans="1:30" ht="21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</row>
    <row r="502" spans="1:30" ht="21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</row>
    <row r="503" spans="1:30" ht="21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</row>
    <row r="504" spans="1:30" ht="21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</row>
    <row r="505" spans="1:30" ht="21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</row>
    <row r="506" spans="1:30" ht="21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</row>
    <row r="507" spans="1:30" ht="21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</row>
    <row r="508" spans="1:30" ht="21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</row>
    <row r="509" spans="1:30" ht="21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</row>
    <row r="510" spans="1:30" ht="21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</row>
    <row r="511" spans="1:30" ht="21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</row>
    <row r="512" spans="1:30" ht="21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</row>
    <row r="513" spans="1:30" ht="21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</row>
    <row r="514" spans="1:30" ht="21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</row>
    <row r="515" spans="1:30" ht="21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</row>
    <row r="516" spans="1:30" ht="21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</row>
    <row r="517" spans="1:30" ht="21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</row>
    <row r="518" spans="1:30" ht="21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</row>
    <row r="519" spans="1:30" ht="21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</row>
    <row r="520" spans="1:30" ht="21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</row>
    <row r="521" spans="1:30" ht="21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</row>
    <row r="522" spans="1:30" ht="21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</row>
    <row r="523" spans="1:30" ht="21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</row>
    <row r="524" spans="1:30" ht="21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</row>
    <row r="525" spans="1:30" ht="21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</row>
    <row r="526" spans="1:30" ht="21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</row>
    <row r="527" spans="1:30" ht="21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</row>
    <row r="528" spans="1:30" ht="21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</row>
    <row r="529" spans="1:30" ht="21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</row>
    <row r="530" spans="1:30" ht="21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</row>
    <row r="531" spans="1:30" ht="21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</row>
    <row r="532" spans="1:30" ht="21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</row>
    <row r="533" spans="1:30" ht="21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</row>
    <row r="534" spans="1:30" ht="21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</row>
    <row r="535" spans="1:30" ht="21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</row>
    <row r="536" spans="1:30" ht="21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</row>
    <row r="537" spans="1:30" ht="21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</row>
    <row r="538" spans="1:30" ht="21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</row>
    <row r="539" spans="1:30" ht="21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</row>
    <row r="540" spans="1:30" ht="21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</row>
    <row r="541" spans="1:30" ht="21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</row>
    <row r="542" spans="1:30" ht="21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</row>
    <row r="543" spans="1:30" ht="21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</row>
    <row r="544" spans="1:30" ht="21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</row>
    <row r="545" spans="1:30" ht="21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</row>
    <row r="546" spans="1:30" ht="21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</row>
    <row r="547" spans="1:30" ht="21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</row>
    <row r="548" spans="1:30" ht="21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</row>
    <row r="549" spans="1:30" ht="21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</row>
    <row r="550" spans="1:30" ht="21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</row>
    <row r="551" spans="1:30" ht="21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</row>
    <row r="552" spans="1:30" ht="21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</row>
    <row r="553" spans="1:30" ht="21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</row>
    <row r="554" spans="1:30" ht="21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</row>
    <row r="555" spans="1:30" ht="21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</row>
    <row r="556" spans="1:30" ht="21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</row>
    <row r="557" spans="1:30" ht="21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</row>
    <row r="558" spans="1:30" ht="21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</row>
    <row r="559" spans="1:30" ht="21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</row>
    <row r="560" spans="1:30" ht="21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</row>
    <row r="561" spans="1:30" ht="21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</row>
    <row r="562" spans="1:30" ht="21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</row>
    <row r="563" spans="1:30" ht="21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</row>
    <row r="564" spans="1:30" ht="21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</row>
    <row r="565" spans="1:30" ht="21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</row>
    <row r="566" spans="1:30" ht="21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</row>
    <row r="567" spans="1:30" ht="21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</row>
    <row r="568" spans="1:30" ht="21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</row>
    <row r="569" spans="1:30" ht="21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</row>
    <row r="570" spans="1:30" ht="21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</row>
    <row r="571" spans="1:30" ht="21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</row>
    <row r="572" spans="1:30" ht="21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</row>
    <row r="573" spans="1:30" ht="21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</row>
    <row r="574" spans="1:30" ht="21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</row>
    <row r="575" spans="1:30" ht="21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</row>
    <row r="576" spans="1:30" ht="21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</row>
    <row r="577" spans="1:30" ht="21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</row>
    <row r="578" spans="1:30" ht="21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</row>
    <row r="579" spans="1:30" ht="21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</row>
    <row r="580" spans="1:30" ht="21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</row>
    <row r="581" spans="1:30" ht="21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</row>
    <row r="582" spans="1:30" ht="21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</row>
    <row r="583" spans="1:30" ht="21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</row>
    <row r="584" spans="1:30" ht="21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</row>
    <row r="585" spans="1:30" ht="21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</row>
    <row r="586" spans="1:30" ht="21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</row>
    <row r="587" spans="1:30" ht="21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</row>
    <row r="588" spans="1:30" ht="21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</row>
    <row r="589" spans="1:30" ht="21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</row>
    <row r="590" spans="1:30" ht="21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</row>
    <row r="591" spans="1:30" ht="21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</row>
    <row r="592" spans="1:30" ht="21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</row>
    <row r="593" spans="1:30" ht="21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</row>
    <row r="594" spans="1:30" ht="21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</row>
    <row r="595" spans="1:30" ht="21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</row>
    <row r="596" spans="1:30" ht="21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</row>
    <row r="597" spans="1:30" ht="21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</row>
    <row r="598" spans="1:30" ht="21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</row>
    <row r="599" spans="1:30" ht="21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</row>
    <row r="600" spans="1:30" ht="21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</row>
    <row r="601" spans="1:30" ht="21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</row>
    <row r="602" spans="1:30" ht="21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</row>
    <row r="603" spans="1:30" ht="21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</row>
    <row r="604" spans="1:30" ht="21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</row>
    <row r="605" spans="1:30" ht="21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</row>
    <row r="606" spans="1:30" ht="21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</row>
    <row r="607" spans="1:30" ht="21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</row>
    <row r="608" spans="1:30" ht="21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</row>
    <row r="609" spans="1:30" ht="21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</row>
    <row r="610" spans="1:30" ht="21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</row>
    <row r="611" spans="1:30" ht="21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</row>
    <row r="612" spans="1:30" ht="21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</row>
    <row r="613" spans="1:30" ht="21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</row>
    <row r="614" spans="1:30" ht="21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</row>
    <row r="615" spans="1:30" ht="21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</row>
    <row r="616" spans="1:30" ht="21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</row>
    <row r="617" spans="1:30" ht="21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</row>
    <row r="618" spans="1:30" ht="21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</row>
    <row r="619" spans="1:30" ht="21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</row>
    <row r="620" spans="1:30" ht="21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</row>
    <row r="621" spans="1:30" ht="21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</row>
    <row r="622" spans="1:30" ht="21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</row>
    <row r="623" spans="1:30" ht="21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</row>
    <row r="624" spans="1:30" ht="21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</row>
    <row r="625" spans="1:30" ht="21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</row>
    <row r="626" spans="1:30" ht="21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</row>
    <row r="627" spans="1:30" ht="21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</row>
    <row r="628" spans="1:30" ht="21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</row>
    <row r="629" spans="1:30" ht="21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</row>
    <row r="630" spans="1:30" ht="21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</row>
    <row r="631" spans="1:30" ht="21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</row>
    <row r="632" spans="1:30" ht="21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</row>
    <row r="633" spans="1:30" ht="21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</row>
    <row r="634" spans="1:30" ht="21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</row>
    <row r="635" spans="1:30" ht="21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</row>
    <row r="636" spans="1:30" ht="21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</row>
    <row r="637" spans="1:30" ht="21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</row>
    <row r="638" spans="1:30" ht="21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</row>
    <row r="639" spans="1:30" ht="21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</row>
    <row r="640" spans="1:30" ht="21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</row>
    <row r="641" spans="1:30" ht="21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</row>
    <row r="642" spans="1:30" ht="21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</row>
    <row r="643" spans="1:30" ht="21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</row>
    <row r="644" spans="1:30" ht="21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</row>
    <row r="645" spans="1:30" ht="21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</row>
    <row r="646" spans="1:30" ht="21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</row>
    <row r="647" spans="1:30" ht="21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</row>
    <row r="648" spans="1:30" ht="21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</row>
    <row r="649" spans="1:30" ht="21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</row>
    <row r="650" spans="1:30" ht="21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</row>
    <row r="651" spans="1:30" ht="21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</row>
    <row r="652" spans="1:30" ht="21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</row>
    <row r="653" spans="1:30" ht="21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</row>
    <row r="654" spans="1:30" ht="21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</row>
    <row r="655" spans="1:30" ht="21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</row>
    <row r="656" spans="1:30" ht="21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</row>
    <row r="657" spans="1:30" ht="21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</row>
    <row r="658" spans="1:30" ht="21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</row>
    <row r="659" spans="1:30" ht="21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</row>
    <row r="660" spans="1:30" ht="21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</row>
    <row r="661" spans="1:30" ht="21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</row>
    <row r="662" spans="1:30" ht="21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</row>
    <row r="663" spans="1:30" ht="21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</row>
    <row r="664" spans="1:30" ht="21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</row>
    <row r="665" spans="1:30" ht="21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</row>
    <row r="666" spans="1:30" ht="21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</row>
    <row r="667" spans="1:30" ht="21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</row>
    <row r="668" spans="1:30" ht="21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</row>
    <row r="669" spans="1:30" ht="21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</row>
    <row r="670" spans="1:30" ht="21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</row>
    <row r="671" spans="1:30" ht="21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</row>
    <row r="672" spans="1:30" ht="21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</row>
    <row r="673" spans="1:30" ht="21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</row>
    <row r="674" spans="1:30" ht="21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</row>
    <row r="675" spans="1:30" ht="21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</row>
    <row r="676" spans="1:30" ht="21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</row>
    <row r="677" spans="1:30" ht="21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</row>
    <row r="678" spans="1:30" ht="21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</row>
    <row r="679" spans="1:30" ht="21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</row>
    <row r="680" spans="1:30" ht="21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</row>
    <row r="681" spans="1:30" ht="21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</row>
    <row r="682" spans="1:30" ht="21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</row>
    <row r="683" spans="1:30" ht="21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</row>
    <row r="684" spans="1:30" ht="21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</row>
    <row r="685" spans="1:30" ht="21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</row>
    <row r="686" spans="1:30" ht="21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</row>
    <row r="687" spans="1:30" ht="21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</row>
    <row r="688" spans="1:30" ht="21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</row>
    <row r="689" spans="1:30" ht="21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</row>
    <row r="690" spans="1:30" ht="21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</row>
    <row r="691" spans="1:30" ht="21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</row>
    <row r="692" spans="1:30" ht="21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</row>
    <row r="693" spans="1:30" ht="21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</row>
    <row r="694" spans="1:30" ht="21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</row>
    <row r="695" spans="1:30" ht="21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</row>
    <row r="696" spans="1:30" ht="21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</row>
    <row r="697" spans="1:30" ht="21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</row>
    <row r="698" spans="1:30" ht="21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</row>
    <row r="699" spans="1:30" ht="21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</row>
    <row r="700" spans="1:30" ht="21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</row>
    <row r="701" spans="1:30" ht="21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</row>
    <row r="702" spans="1:30" ht="21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</row>
    <row r="703" spans="1:30" ht="21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</row>
    <row r="704" spans="1:30" ht="21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</row>
    <row r="705" spans="1:30" ht="21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</row>
    <row r="706" spans="1:30" ht="21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</row>
    <row r="707" spans="1:30" ht="21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</row>
    <row r="708" spans="1:30" ht="21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</row>
    <row r="709" spans="1:30" ht="21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</row>
    <row r="710" spans="1:30" ht="21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</row>
    <row r="711" spans="1:30" ht="21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</row>
    <row r="712" spans="1:30" ht="21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</row>
    <row r="713" spans="1:30" ht="21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</row>
    <row r="714" spans="1:30" ht="21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</row>
    <row r="715" spans="1:30" ht="21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</row>
    <row r="716" spans="1:30" ht="21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</row>
    <row r="717" spans="1:30" ht="21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</row>
    <row r="718" spans="1:30" ht="21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</row>
    <row r="719" spans="1:30" ht="21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</row>
    <row r="720" spans="1:30" ht="21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</row>
    <row r="721" spans="1:30" ht="21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</row>
    <row r="722" spans="1:30" ht="21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</row>
    <row r="723" spans="1:30" ht="21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</row>
    <row r="724" spans="1:30" ht="21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</row>
    <row r="725" spans="1:30" ht="21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</row>
    <row r="726" spans="1:30" ht="21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</row>
    <row r="727" spans="1:30" ht="21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</row>
    <row r="728" spans="1:30" ht="21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</row>
    <row r="729" spans="1:30" ht="21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</row>
    <row r="730" spans="1:30" ht="21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</row>
    <row r="731" spans="1:30" ht="21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</row>
    <row r="732" spans="1:30" ht="21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</row>
    <row r="733" spans="1:30" ht="21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</row>
    <row r="734" spans="1:30" ht="21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</row>
    <row r="735" spans="1:30" ht="21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</row>
    <row r="736" spans="1:30" ht="21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</row>
    <row r="737" spans="1:30" ht="21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</row>
    <row r="738" spans="1:30" ht="21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</row>
    <row r="739" spans="1:30" ht="21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</row>
    <row r="740" spans="1:30" ht="21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</row>
    <row r="741" spans="1:30" ht="21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</row>
    <row r="742" spans="1:30" ht="21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</row>
    <row r="743" spans="1:30" ht="21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</row>
    <row r="744" spans="1:30" ht="21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</row>
    <row r="745" spans="1:30" ht="21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</row>
    <row r="746" spans="1:30" ht="21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</row>
    <row r="747" spans="1:30" ht="21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</row>
    <row r="748" spans="1:30" ht="21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</row>
    <row r="749" spans="1:30" ht="21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</row>
    <row r="750" spans="1:30" ht="21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</row>
    <row r="751" spans="1:30" ht="21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</row>
    <row r="752" spans="1:30" ht="21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</row>
    <row r="753" spans="1:30" ht="21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</row>
    <row r="754" spans="1:30" ht="21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</row>
    <row r="755" spans="1:30" ht="21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</row>
    <row r="756" spans="1:30" ht="21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</row>
    <row r="757" spans="1:30" ht="21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</row>
    <row r="758" spans="1:30" ht="21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</row>
    <row r="759" spans="1:30" ht="21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</row>
    <row r="760" spans="1:30" ht="21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</row>
    <row r="761" spans="1:30" ht="21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</row>
    <row r="762" spans="1:30" ht="21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</row>
    <row r="763" spans="1:30" ht="21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</row>
    <row r="764" spans="1:30" ht="21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</row>
    <row r="765" spans="1:30" ht="21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</row>
    <row r="766" spans="1:30" ht="21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</row>
    <row r="767" spans="1:30" ht="21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</row>
    <row r="768" spans="1:30" ht="21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</row>
    <row r="769" spans="1:30" ht="21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</row>
    <row r="770" spans="1:30" ht="21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</row>
    <row r="771" spans="1:30" ht="21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</row>
    <row r="772" spans="1:30" ht="21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</row>
    <row r="773" spans="1:30" ht="21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</row>
    <row r="774" spans="1:30" ht="21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</row>
    <row r="775" spans="1:30" ht="21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</row>
    <row r="776" spans="1:30" ht="21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</row>
    <row r="777" spans="1:30" ht="21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</row>
    <row r="778" spans="1:30" ht="21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</row>
    <row r="779" spans="1:30" ht="21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</row>
    <row r="780" spans="1:30" ht="21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</row>
    <row r="781" spans="1:30" ht="21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</row>
    <row r="782" spans="1:30" ht="21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</row>
    <row r="783" spans="1:30" ht="21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</row>
    <row r="784" spans="1:30" ht="21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</row>
    <row r="785" spans="1:30" ht="21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</row>
    <row r="786" spans="1:30" ht="21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</row>
    <row r="787" spans="1:30" ht="21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</row>
    <row r="788" spans="1:30" ht="21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</row>
    <row r="789" spans="1:30" ht="21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</row>
    <row r="790" spans="1:30" ht="21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</row>
    <row r="791" spans="1:30" ht="21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</row>
    <row r="792" spans="1:30" ht="21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</row>
    <row r="793" spans="1:30" ht="21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</row>
    <row r="794" spans="1:30" ht="21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</row>
    <row r="795" spans="1:30" ht="21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</row>
    <row r="796" spans="1:30" ht="21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</row>
    <row r="797" spans="1:30" ht="21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</row>
    <row r="798" spans="1:30" ht="21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</row>
    <row r="799" spans="1:30" ht="21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</row>
    <row r="800" spans="1:30" ht="21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</row>
    <row r="801" spans="1:30" ht="21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</row>
    <row r="802" spans="1:30" ht="21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</row>
    <row r="803" spans="1:30" ht="21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</row>
    <row r="804" spans="1:30" ht="21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</row>
    <row r="805" spans="1:30" ht="21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</row>
    <row r="806" spans="1:30" ht="21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</row>
    <row r="807" spans="1:30" ht="21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</row>
    <row r="808" spans="1:30" ht="21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</row>
    <row r="809" spans="1:30" ht="21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</row>
    <row r="810" spans="1:30" ht="21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</row>
    <row r="811" spans="1:30" ht="21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</row>
    <row r="812" spans="1:30" ht="21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</row>
    <row r="813" spans="1:30" ht="21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</row>
    <row r="814" spans="1:30" ht="21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</row>
    <row r="815" spans="1:30" ht="21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</row>
    <row r="816" spans="1:30" ht="21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</row>
    <row r="817" spans="1:30" ht="21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</row>
    <row r="818" spans="1:30" ht="21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</row>
    <row r="819" spans="1:30" ht="21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</row>
    <row r="820" spans="1:30" ht="21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</row>
    <row r="821" spans="1:30" ht="21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</row>
    <row r="822" spans="1:30" ht="21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</row>
    <row r="823" spans="1:30" ht="21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</row>
    <row r="824" spans="1:30" ht="21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</row>
    <row r="825" spans="1:30" ht="21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</row>
    <row r="826" spans="1:30" ht="21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</row>
    <row r="827" spans="1:30" ht="21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</row>
    <row r="828" spans="1:30" ht="21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</row>
    <row r="829" spans="1:30" ht="21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</row>
    <row r="830" spans="1:30" ht="21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</row>
    <row r="831" spans="1:30" ht="21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</row>
    <row r="832" spans="1:30" ht="21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</row>
    <row r="833" spans="1:30" ht="21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</row>
    <row r="834" spans="1:30" ht="21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</row>
    <row r="835" spans="1:30" ht="21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</row>
    <row r="836" spans="1:30" ht="21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</row>
    <row r="837" spans="1:30" ht="21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</row>
    <row r="838" spans="1:30" ht="21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</row>
    <row r="839" spans="1:30" ht="21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</row>
    <row r="840" spans="1:30" ht="21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</row>
    <row r="841" spans="1:30" ht="21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</row>
    <row r="842" spans="1:30" ht="21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</row>
    <row r="843" spans="1:30" ht="21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</row>
    <row r="844" spans="1:30" ht="21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</row>
    <row r="845" spans="1:30" ht="21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</row>
    <row r="846" spans="1:30" ht="21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</row>
    <row r="847" spans="1:30" ht="21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</row>
    <row r="848" spans="1:30" ht="21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</row>
    <row r="849" spans="1:30" ht="21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</row>
    <row r="850" spans="1:30" ht="21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</row>
    <row r="851" spans="1:30" ht="21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</row>
    <row r="852" spans="1:30" ht="21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</row>
    <row r="853" spans="1:30" ht="21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</row>
    <row r="854" spans="1:30" ht="21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</row>
    <row r="855" spans="1:30" ht="21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</row>
    <row r="856" spans="1:30" ht="21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</row>
    <row r="857" spans="1:30" ht="21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</row>
    <row r="858" spans="1:30" ht="21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</row>
    <row r="859" spans="1:30" ht="21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</row>
    <row r="860" spans="1:30" ht="21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</row>
    <row r="861" spans="1:30" ht="21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</row>
    <row r="862" spans="1:30" ht="21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</row>
    <row r="863" spans="1:30" ht="21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</row>
    <row r="864" spans="1:30" ht="21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</row>
    <row r="865" spans="1:30" ht="21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</row>
    <row r="866" spans="1:30" ht="21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</row>
    <row r="867" spans="1:30" ht="21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</row>
    <row r="868" spans="1:30" ht="21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</row>
    <row r="869" spans="1:30" ht="21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</row>
    <row r="870" spans="1:30" ht="21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</row>
    <row r="871" spans="1:30" ht="21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</row>
    <row r="872" spans="1:30" ht="21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</row>
    <row r="873" spans="1:30" ht="21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</row>
    <row r="874" spans="1:30" ht="21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</row>
    <row r="875" spans="1:30" ht="21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</row>
    <row r="876" spans="1:30" ht="21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</row>
    <row r="877" spans="1:30" ht="21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</row>
    <row r="878" spans="1:30" ht="21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</row>
    <row r="879" spans="1:30" ht="21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</row>
    <row r="880" spans="1:30" ht="21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</row>
    <row r="881" spans="1:30" ht="21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</row>
    <row r="882" spans="1:30" ht="21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</row>
    <row r="883" spans="1:30" ht="21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</row>
    <row r="884" spans="1:30" ht="21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</row>
    <row r="885" spans="1:30" ht="21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</row>
    <row r="886" spans="1:30" ht="21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</row>
    <row r="887" spans="1:30" ht="21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</row>
    <row r="888" spans="1:30" ht="21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</row>
    <row r="889" spans="1:30" ht="21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</row>
    <row r="890" spans="1:30" ht="21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</row>
    <row r="891" spans="1:30" ht="21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</row>
    <row r="892" spans="1:30" ht="21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</row>
    <row r="893" spans="1:30" ht="21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</row>
    <row r="894" spans="1:30" ht="21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</row>
    <row r="895" spans="1:30" ht="21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</row>
    <row r="896" spans="1:30" ht="21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</row>
    <row r="897" spans="1:30" ht="21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</row>
    <row r="898" spans="1:30" ht="21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</row>
    <row r="899" spans="1:30" ht="21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</row>
    <row r="900" spans="1:30" ht="21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</row>
    <row r="901" spans="1:30" ht="21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</row>
    <row r="902" spans="1:30" ht="21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</row>
    <row r="903" spans="1:30" ht="21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</row>
    <row r="904" spans="1:30" ht="21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</row>
    <row r="905" spans="1:30" ht="21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</row>
    <row r="906" spans="1:30" ht="21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</row>
    <row r="907" spans="1:30" ht="21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</row>
    <row r="908" spans="1:30" ht="21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</row>
    <row r="909" spans="1:30" ht="21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</row>
    <row r="910" spans="1:30" ht="21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</row>
    <row r="911" spans="1:30" ht="21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</row>
    <row r="912" spans="1:30" ht="21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</row>
    <row r="913" spans="1:30" ht="21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</row>
    <row r="914" spans="1:30" ht="21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</row>
    <row r="915" spans="1:30" ht="21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</row>
    <row r="916" spans="1:30" ht="21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</row>
    <row r="917" spans="1:30" ht="21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</row>
    <row r="918" spans="1:30" ht="21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</row>
    <row r="919" spans="1:30" ht="21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</row>
    <row r="920" spans="1:30" ht="21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</row>
    <row r="921" spans="1:30" ht="21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</row>
    <row r="922" spans="1:30" ht="21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</row>
    <row r="923" spans="1:30" ht="21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</row>
    <row r="924" spans="1:30" ht="21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</row>
    <row r="925" spans="1:30" ht="21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</row>
    <row r="926" spans="1:30" ht="21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</row>
    <row r="927" spans="1:30" ht="21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</row>
    <row r="928" spans="1:30" ht="21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</row>
    <row r="929" spans="1:30" ht="21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</row>
    <row r="930" spans="1:30" ht="21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</row>
    <row r="931" spans="1:30" ht="21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</row>
    <row r="932" spans="1:30" ht="21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</row>
    <row r="933" spans="1:30" ht="21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</row>
    <row r="934" spans="1:30" ht="21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</row>
    <row r="935" spans="1:30" ht="21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</row>
    <row r="936" spans="1:30" ht="21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</row>
    <row r="937" spans="1:30" ht="21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</row>
    <row r="938" spans="1:30" ht="21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</row>
    <row r="939" spans="1:30" ht="21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</row>
    <row r="940" spans="1:30" ht="21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</row>
    <row r="941" spans="1:30" ht="21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</row>
    <row r="942" spans="1:30" ht="21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</row>
    <row r="943" spans="1:30" ht="21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</row>
    <row r="944" spans="1:30" ht="21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</row>
    <row r="945" spans="1:30" ht="21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</row>
    <row r="946" spans="1:30" ht="21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</row>
    <row r="947" spans="1:30" ht="21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</row>
    <row r="948" spans="1:30" ht="21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</row>
    <row r="949" spans="1:30" ht="21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</row>
    <row r="950" spans="1:30" ht="21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</row>
    <row r="951" spans="1:30" ht="21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</row>
    <row r="952" spans="1:30" ht="21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</row>
    <row r="953" spans="1:30" ht="21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</row>
    <row r="954" spans="1:30" ht="21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</row>
    <row r="955" spans="1:30" ht="21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</row>
    <row r="956" spans="1:30" ht="21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</row>
    <row r="957" spans="1:30" ht="21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</row>
    <row r="958" spans="1:30" ht="21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</row>
    <row r="959" spans="1:30" ht="21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</row>
    <row r="960" spans="1:30" ht="21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</row>
    <row r="961" spans="1:30" ht="21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</row>
    <row r="962" spans="1:30" ht="21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</row>
    <row r="963" spans="1:30" ht="21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</row>
    <row r="964" spans="1:30" ht="21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</row>
    <row r="965" spans="1:30" ht="21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</row>
    <row r="966" spans="1:30" ht="21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</row>
    <row r="967" spans="1:30" ht="21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</row>
    <row r="968" spans="1:30" ht="21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</row>
    <row r="969" spans="1:30" ht="21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</row>
    <row r="970" spans="1:30" ht="21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</row>
    <row r="971" spans="1:30" ht="21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</row>
    <row r="972" spans="1:30" ht="21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</row>
    <row r="973" spans="1:30" ht="21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</row>
    <row r="974" spans="1:30" ht="21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</row>
    <row r="975" spans="1:30" ht="21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</row>
    <row r="976" spans="1:30" ht="21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</row>
    <row r="977" spans="1:30" ht="21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</row>
    <row r="978" spans="1:30" ht="21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</row>
    <row r="979" spans="1:30" ht="21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</row>
    <row r="980" spans="1:30" ht="21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</row>
    <row r="981" spans="1:30" ht="21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</row>
    <row r="982" spans="1:30" ht="21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</row>
    <row r="983" spans="1:30" ht="21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</row>
    <row r="984" spans="1:30" ht="21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</row>
    <row r="985" spans="1:30" ht="21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</row>
    <row r="986" spans="1:30" ht="21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</row>
    <row r="987" spans="1:30" ht="21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</row>
    <row r="988" spans="1:30" ht="21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</row>
    <row r="989" spans="1:30" ht="21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</row>
    <row r="990" spans="1:30" ht="21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</row>
    <row r="991" spans="1:30" ht="21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</row>
    <row r="992" spans="1:30" ht="21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</row>
    <row r="993" spans="1:30" ht="21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</row>
  </sheetData>
  <mergeCells count="37">
    <mergeCell ref="A26:I26"/>
    <mergeCell ref="B27:C27"/>
    <mergeCell ref="B28:C28"/>
    <mergeCell ref="B29:C29"/>
    <mergeCell ref="A35:O35"/>
    <mergeCell ref="A30:D30"/>
    <mergeCell ref="M30:O30"/>
    <mergeCell ref="B31:C31"/>
    <mergeCell ref="M31:O31"/>
    <mergeCell ref="B32:C32"/>
    <mergeCell ref="B33:C33"/>
    <mergeCell ref="A34:O34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A1:O1"/>
    <mergeCell ref="A2:O2"/>
    <mergeCell ref="A3:O3"/>
    <mergeCell ref="A4:O4"/>
    <mergeCell ref="A5:O7"/>
    <mergeCell ref="G8:I9"/>
    <mergeCell ref="O8:O9"/>
    <mergeCell ref="A8:F9"/>
    <mergeCell ref="A10:O10"/>
    <mergeCell ref="B14:C14"/>
    <mergeCell ref="D14:D15"/>
    <mergeCell ref="E14:E15"/>
    <mergeCell ref="G14:G15"/>
    <mergeCell ref="H14:H15"/>
    <mergeCell ref="B15:C15"/>
  </mergeCells>
  <phoneticPr fontId="43" type="noConversion"/>
  <printOptions horizontalCentered="1" verticalCentered="1"/>
  <pageMargins left="0.25" right="0.25" top="0.75" bottom="0.75" header="0" footer="0"/>
  <pageSetup paperSize="9" scale="6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ปะหน้า</vt:lpstr>
      <vt:lpstr>ค่าขนส่ง</vt:lpstr>
      <vt:lpstr>ปะหน้า (2)</vt:lpstr>
      <vt:lpstr>ค่าทดรองจ่าย</vt:lpstr>
      <vt:lpstr>ค่าขนส่ง!Print_Area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ayutra-5</dc:creator>
  <cp:lastModifiedBy>User</cp:lastModifiedBy>
  <cp:lastPrinted>2026-05-14T08:34:04Z</cp:lastPrinted>
  <dcterms:created xsi:type="dcterms:W3CDTF">2017-06-08T03:55:16Z</dcterms:created>
  <dcterms:modified xsi:type="dcterms:W3CDTF">2026-06-09T11:03:24Z</dcterms:modified>
</cp:coreProperties>
</file>