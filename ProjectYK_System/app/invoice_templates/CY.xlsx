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วางบิล CY\6.2026\"/>
    </mc:Choice>
  </mc:AlternateContent>
  <xr:revisionPtr revIDLastSave="0" documentId="13_ncr:1_{9F01FE87-C5D0-4191-B7C2-49C766B1893D}" xr6:coauthVersionLast="47" xr6:coauthVersionMax="47" xr10:uidLastSave="{00000000-0000-0000-0000-000000000000}"/>
  <bookViews>
    <workbookView xWindow="-120" yWindow="-120" windowWidth="21840" windowHeight="13020" tabRatio="738" activeTab="1" xr2:uid="{00000000-000D-0000-FFFF-FFFF00000000}"/>
  </bookViews>
  <sheets>
    <sheet name="ปะหน้าขนส่ง" sheetId="4" r:id="rId1"/>
    <sheet name="ค่าขนส่ง" sheetId="1" r:id="rId2"/>
  </sheets>
  <definedNames>
    <definedName name="_xlnm.Print_Area" localSheetId="1">ค่าขนส่ง!$A$1:$M$42</definedName>
    <definedName name="_xlnm.Print_Area" localSheetId="0">ปะหน้าขนส่ง!$A$1:$L$51</definedName>
  </definedNames>
  <calcPr calcId="191029"/>
</workbook>
</file>

<file path=xl/calcChain.xml><?xml version="1.0" encoding="utf-8"?>
<calcChain xmlns="http://schemas.openxmlformats.org/spreadsheetml/2006/main">
  <c r="M17" i="1" l="1"/>
  <c r="M16" i="1" l="1"/>
  <c r="K9" i="4"/>
  <c r="K10" i="4"/>
  <c r="M33" i="1" l="1"/>
  <c r="A33" i="1" l="1"/>
  <c r="C17" i="4"/>
  <c r="J17" i="4" l="1"/>
  <c r="D13" i="4"/>
  <c r="D12" i="4"/>
  <c r="D9" i="4"/>
  <c r="B37" i="1"/>
  <c r="K17" i="4" l="1"/>
  <c r="K38" i="4" l="1"/>
  <c r="K40" i="4" s="1"/>
  <c r="D38" i="4" s="1"/>
</calcChain>
</file>

<file path=xl/sharedStrings.xml><?xml version="1.0" encoding="utf-8"?>
<sst xmlns="http://schemas.openxmlformats.org/spreadsheetml/2006/main" count="83" uniqueCount="76">
  <si>
    <t>ใบแจ้งหนี้ / INVOICE</t>
  </si>
  <si>
    <t>DATE</t>
  </si>
  <si>
    <t>ITEM</t>
  </si>
  <si>
    <t>TRUCK LIST</t>
  </si>
  <si>
    <t>CUST.</t>
  </si>
  <si>
    <t>ลำดับ</t>
  </si>
  <si>
    <t>รายการบรรทุก</t>
  </si>
  <si>
    <t>วันที่บรรทุก</t>
  </si>
  <si>
    <t>AMOUNT</t>
  </si>
  <si>
    <t>จำนวนเงิน</t>
  </si>
  <si>
    <t>ทะเบียนรถ</t>
  </si>
  <si>
    <t>TRUCK NO.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</si>
  <si>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</si>
  <si>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>ผู้วางบิล.……………………….………</t>
  </si>
  <si>
    <t>วันที่……………………………..…………….……</t>
  </si>
  <si>
    <t xml:space="preserve">วันที่ </t>
  </si>
  <si>
    <t>วันที่</t>
  </si>
  <si>
    <t>ผู้รับวางบิล.………………………...………….………</t>
  </si>
  <si>
    <t>SIZE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</si>
  <si>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</si>
  <si>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ชื่อลูกค้า / Customer</t>
  </si>
  <si>
    <t>เลขที่  Inv.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</si>
  <si>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</si>
  <si>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</si>
  <si>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</si>
  <si>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</si>
  <si>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</si>
  <si>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</si>
  <si>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</si>
  <si>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</si>
  <si>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Item</t>
  </si>
  <si>
    <t>Description</t>
  </si>
  <si>
    <t>Quantity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</si>
  <si>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</si>
  <si>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</si>
  <si>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</si>
  <si>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</si>
  <si>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</si>
  <si>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</si>
  <si>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</si>
  <si>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</si>
  <si>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>ราคาต่อหน่วย</t>
  </si>
  <si>
    <t>Unit / Price</t>
  </si>
  <si>
    <t xml:space="preserve">ใบแจ้งหนี้เลขที่  </t>
  </si>
  <si>
    <t xml:space="preserve">ADDRESS    :  </t>
  </si>
  <si>
    <t xml:space="preserve">                          </t>
  </si>
  <si>
    <t xml:space="preserve">CUSTOMER : </t>
  </si>
  <si>
    <t>ค่าขนส่ง</t>
  </si>
  <si>
    <t>ค่าใช้จ่าย</t>
  </si>
  <si>
    <t>Y.K. Logistics  Co.,ltd</t>
  </si>
  <si>
    <t xml:space="preserve">        บริษัท วาย.เค. ลอจิสติค  จำกัด (สำนักงานใหญ่)</t>
  </si>
  <si>
    <t xml:space="preserve">      70 หมู่ 5  ตำบลเชียงรากน้อย  อำเภอบางปะอิน  จังหวัดพระนครศรีอยุธยา  13180</t>
  </si>
  <si>
    <t xml:space="preserve">   เลขประจำตัวผู้เสียภาษี 0125548009248</t>
  </si>
  <si>
    <t>บริษัท  วาย.เค. ลอจิสติค  จำกัด (สำนักงานใหญ่)</t>
  </si>
  <si>
    <t>70  หมู่ 5  ตำบลเชียงรากน้อย  อำเภอบางปะอิน  จังหวัดพระนครศรีอยุธยา  13180</t>
  </si>
  <si>
    <t>เลขประจำตัวผู้เสียภาษี 0125548009248</t>
  </si>
  <si>
    <t>Transport Cost</t>
  </si>
  <si>
    <t>Advance Cost</t>
  </si>
  <si>
    <t>Cntr.No.</t>
  </si>
  <si>
    <t>MTIV2406-015</t>
  </si>
  <si>
    <r>
      <rPr>
        <b/>
        <sz val="16"/>
        <color theme="1"/>
        <rFont val="AngsanaUPC"/>
        <family val="1"/>
        <charset val="222"/>
      </rPr>
      <t xml:space="preserve">หมายเหตุ : </t>
    </r>
    <r>
      <rPr>
        <sz val="16"/>
        <color theme="1"/>
        <rFont val="AngsanaUPC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</si>
  <si>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 </t>
  </si>
  <si>
    <t xml:space="preserve">ใบแจ้งหนี้ / INVOICE </t>
  </si>
  <si>
    <t>BL</t>
  </si>
  <si>
    <t>C.Y Logistics (Thailand) Co., Ltd.</t>
  </si>
  <si>
    <t>110 Psk building Room 4503 Floor 4 Inthamara18 VibhavadiRungsit Rd.,RatchadaPisek Dindeang, Bangkok 10400</t>
  </si>
  <si>
    <t>Tax ID : 0105569054935</t>
  </si>
  <si>
    <t xml:space="preserve">LCB-JUN TAI </t>
  </si>
  <si>
    <t xml:space="preserve">JUN TAI </t>
  </si>
  <si>
    <t>ค่าล้าง/ซ่อม</t>
  </si>
  <si>
    <t>CYIV2606-023</t>
  </si>
  <si>
    <t>KMTU9470533</t>
  </si>
  <si>
    <t>BEAU4867698</t>
  </si>
  <si>
    <t>71-8967</t>
  </si>
  <si>
    <t>71-8681</t>
  </si>
  <si>
    <t>KMTCSHAP833379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</si>
</sst>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\ yy;@"/>
    <numFmt numFmtId="189" formatCode="[$-1010000]d/m/yyyy;@"/>
  </numFmts>
  <fonts count="4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</font>
    <font>
      <sz val="11"/>
      <color indexed="8"/>
      <name val="Tahoma"/>
      <family val="2"/>
      <charset val="222"/>
    </font>
    <font>
      <b/>
      <sz val="20"/>
      <color theme="1"/>
      <name val="Times New Roman"/>
      <family val="1"/>
      <charset val="222"/>
    </font>
    <font>
      <sz val="16"/>
      <color theme="1"/>
      <name val="Tahoma"/>
      <family val="2"/>
      <scheme val="minor"/>
    </font>
    <font>
      <sz val="20"/>
      <color theme="1"/>
      <name val="Angsana New"/>
      <family val="1"/>
      <charset val="222"/>
    </font>
    <font>
      <sz val="14"/>
      <color theme="1"/>
      <name val="Angsana New"/>
      <family val="1"/>
    </font>
    <font>
      <b/>
      <sz val="26"/>
      <color theme="1"/>
      <name val="Angsana New"/>
      <family val="1"/>
    </font>
    <font>
      <b/>
      <sz val="22"/>
      <name val="Angsana New"/>
      <family val="1"/>
    </font>
    <font>
      <b/>
      <sz val="16"/>
      <name val="Angsana New"/>
      <family val="1"/>
    </font>
    <font>
      <b/>
      <sz val="18"/>
      <color theme="1"/>
      <name val="Angsana New"/>
      <family val="1"/>
    </font>
    <font>
      <sz val="16"/>
      <name val="Angsana New"/>
      <family val="1"/>
    </font>
    <font>
      <sz val="16"/>
      <name val="AngsanaUPC"/>
      <family val="1"/>
    </font>
    <font>
      <b/>
      <sz val="14"/>
      <color theme="1"/>
      <name val="Angsana New"/>
      <family val="1"/>
    </font>
    <font>
      <sz val="18"/>
      <color theme="1"/>
      <name val="Angsana New"/>
      <family val="1"/>
    </font>
    <font>
      <b/>
      <sz val="16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8"/>
      <name val="Arial"/>
      <family val="2"/>
    </font>
    <font>
      <b/>
      <sz val="7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4"/>
      <name val="Angsana New"/>
      <family val="1"/>
    </font>
    <font>
      <sz val="18"/>
      <name val="Angsana New"/>
      <family val="1"/>
    </font>
    <font>
      <sz val="8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6"/>
      <name val="Angsana New"/>
      <family val="1"/>
      <charset val="222"/>
    </font>
    <font>
      <sz val="8"/>
      <name val="Angsana New"/>
      <family val="1"/>
      <charset val="222"/>
    </font>
    <font>
      <sz val="9"/>
      <name val="Angsana New"/>
      <family val="1"/>
      <charset val="222"/>
    </font>
    <font>
      <sz val="10"/>
      <name val="Angsana New"/>
      <family val="1"/>
      <charset val="222"/>
    </font>
    <font>
      <sz val="11"/>
      <name val="Angsana New"/>
      <family val="1"/>
      <charset val="222"/>
    </font>
    <font>
      <b/>
      <sz val="10"/>
      <name val="Angsana New"/>
      <family val="1"/>
      <charset val="222"/>
    </font>
    <font>
      <b/>
      <sz val="8"/>
      <name val="Angsana New"/>
      <family val="1"/>
      <charset val="222"/>
    </font>
    <font>
      <sz val="12"/>
      <name val="Angsana New"/>
      <family val="1"/>
      <charset val="222"/>
    </font>
    <font>
      <b/>
      <sz val="12"/>
      <name val="Angsana New"/>
      <family val="1"/>
      <charset val="222"/>
    </font>
    <font>
      <b/>
      <sz val="12"/>
      <color rgb="FF000000"/>
      <name val="Angsana New"/>
      <family val="1"/>
      <charset val="222"/>
    </font>
    <font>
      <sz val="12"/>
      <color theme="0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sz val="12"/>
      <color theme="1"/>
      <name val="Angsana New"/>
      <family val="1"/>
      <charset val="222"/>
    </font>
    <font>
      <b/>
      <sz val="18"/>
      <color theme="1"/>
      <name val="Angsana New"/>
      <family val="1"/>
      <charset val="222"/>
    </font>
    <font>
      <b/>
      <sz val="11"/>
      <name val="Angsana New"/>
      <family val="1"/>
      <charset val="222"/>
    </font>
    <font>
      <b/>
      <sz val="11"/>
      <color rgb="FF000000"/>
      <name val="Angsana New"/>
      <family val="1"/>
      <charset val="222"/>
    </font>
    <font>
      <b/>
      <sz val="14"/>
      <color rgb="FF222222"/>
      <name val="Angsana New"/>
      <family val="1"/>
      <charset val="222"/>
    </font>
    <font>
      <sz val="16"/>
      <color rgb="FF00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0"/>
  </cellStyleXfs>
  <cellXfs count="216">
    <xf numFmtId="0" fontId="0" fillId="0" borderId="0" xfId="0"/>
    <xf numFmtId="0" fontId="7" fillId="0" borderId="0" xfId="0" applyFont="1"/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87" fontId="17" fillId="0" borderId="14" xfId="1" applyFont="1" applyBorder="1" applyAlignment="1">
      <alignment horizontal="center"/>
    </xf>
    <xf numFmtId="43" fontId="12" fillId="0" borderId="15" xfId="5" applyFont="1" applyBorder="1" applyAlignment="1">
      <alignment vertical="center"/>
    </xf>
    <xf numFmtId="0" fontId="18" fillId="0" borderId="9" xfId="4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43" fontId="12" fillId="0" borderId="0" xfId="5" applyFont="1" applyAlignment="1">
      <alignment vertical="center"/>
    </xf>
    <xf numFmtId="0" fontId="18" fillId="0" borderId="10" xfId="4" applyFont="1" applyBorder="1"/>
    <xf numFmtId="0" fontId="19" fillId="0" borderId="0" xfId="0" applyFont="1" applyAlignment="1">
      <alignment vertical="center"/>
    </xf>
    <xf numFmtId="0" fontId="19" fillId="0" borderId="9" xfId="0" applyFont="1" applyBorder="1"/>
    <xf numFmtId="0" fontId="19" fillId="0" borderId="0" xfId="0" applyFont="1"/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7" fillId="0" borderId="10" xfId="0" applyFont="1" applyBorder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88" fontId="22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43" fontId="21" fillId="0" borderId="10" xfId="10" applyFont="1" applyBorder="1"/>
    <xf numFmtId="0" fontId="21" fillId="0" borderId="16" xfId="0" applyFont="1" applyBorder="1" applyAlignment="1">
      <alignment horizontal="center" vertical="center"/>
    </xf>
    <xf numFmtId="0" fontId="24" fillId="0" borderId="0" xfId="0" applyFont="1"/>
    <xf numFmtId="0" fontId="21" fillId="0" borderId="10" xfId="0" applyFont="1" applyBorder="1"/>
    <xf numFmtId="0" fontId="21" fillId="0" borderId="16" xfId="0" applyFont="1" applyBorder="1" applyAlignment="1">
      <alignment horizontal="center"/>
    </xf>
    <xf numFmtId="188" fontId="24" fillId="0" borderId="0" xfId="0" applyNumberFormat="1" applyFont="1" applyAlignment="1">
      <alignment horizontal="left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43" fontId="21" fillId="0" borderId="8" xfId="10" applyFont="1" applyBorder="1"/>
    <xf numFmtId="0" fontId="3" fillId="0" borderId="1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5" fillId="0" borderId="14" xfId="0" applyFont="1" applyBorder="1" applyAlignment="1">
      <alignment horizontal="center" vertical="center"/>
    </xf>
    <xf numFmtId="0" fontId="15" fillId="0" borderId="9" xfId="4" applyFont="1" applyBorder="1"/>
    <xf numFmtId="0" fontId="15" fillId="0" borderId="0" xfId="4" applyFont="1"/>
    <xf numFmtId="0" fontId="15" fillId="0" borderId="10" xfId="4" applyFont="1" applyBorder="1"/>
    <xf numFmtId="0" fontId="14" fillId="0" borderId="2" xfId="4" applyFont="1" applyBorder="1"/>
    <xf numFmtId="0" fontId="14" fillId="0" borderId="3" xfId="4" applyFont="1" applyBorder="1"/>
    <xf numFmtId="0" fontId="14" fillId="0" borderId="4" xfId="4" applyFont="1" applyBorder="1"/>
    <xf numFmtId="0" fontId="11" fillId="0" borderId="3" xfId="4" applyFont="1" applyBorder="1"/>
    <xf numFmtId="0" fontId="26" fillId="0" borderId="14" xfId="0" applyFont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14" fontId="7" fillId="0" borderId="0" xfId="0" applyNumberFormat="1" applyFont="1"/>
    <xf numFmtId="4" fontId="7" fillId="0" borderId="0" xfId="0" applyNumberFormat="1" applyFont="1"/>
    <xf numFmtId="49" fontId="26" fillId="0" borderId="14" xfId="0" applyNumberFormat="1" applyFont="1" applyBorder="1" applyAlignment="1">
      <alignment horizontal="center" vertical="center" shrinkToFit="1"/>
    </xf>
    <xf numFmtId="188" fontId="17" fillId="0" borderId="14" xfId="0" applyNumberFormat="1" applyFont="1" applyBorder="1" applyAlignment="1">
      <alignment horizontal="center"/>
    </xf>
    <xf numFmtId="43" fontId="17" fillId="0" borderId="14" xfId="8" applyFont="1" applyFill="1" applyBorder="1" applyAlignment="1">
      <alignment horizontal="center" vertical="center" shrinkToFit="1"/>
    </xf>
    <xf numFmtId="0" fontId="17" fillId="0" borderId="11" xfId="0" applyFont="1" applyBorder="1"/>
    <xf numFmtId="0" fontId="17" fillId="0" borderId="13" xfId="0" applyFont="1" applyBorder="1"/>
    <xf numFmtId="0" fontId="18" fillId="0" borderId="10" xfId="4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4" fontId="0" fillId="0" borderId="0" xfId="0" applyNumberFormat="1"/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14" fontId="12" fillId="0" borderId="3" xfId="5" applyNumberFormat="1" applyFont="1" applyBorder="1" applyAlignment="1">
      <alignment horizontal="left" vertical="center"/>
    </xf>
    <xf numFmtId="14" fontId="12" fillId="0" borderId="7" xfId="5" applyNumberFormat="1" applyFont="1" applyBorder="1" applyAlignment="1">
      <alignment horizontal="left" vertical="center"/>
    </xf>
    <xf numFmtId="0" fontId="28" fillId="0" borderId="0" xfId="0" applyFont="1"/>
    <xf numFmtId="0" fontId="0" fillId="0" borderId="7" xfId="0" applyBorder="1"/>
    <xf numFmtId="0" fontId="0" fillId="0" borderId="9" xfId="0" applyBorder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3" fillId="0" borderId="10" xfId="0" applyFont="1" applyBorder="1"/>
    <xf numFmtId="0" fontId="32" fillId="0" borderId="9" xfId="0" applyFont="1" applyBorder="1"/>
    <xf numFmtId="0" fontId="30" fillId="0" borderId="9" xfId="0" applyFont="1" applyBorder="1"/>
    <xf numFmtId="0" fontId="31" fillId="0" borderId="2" xfId="0" applyFont="1" applyBorder="1"/>
    <xf numFmtId="0" fontId="31" fillId="0" borderId="9" xfId="0" applyFont="1" applyBorder="1"/>
    <xf numFmtId="0" fontId="30" fillId="0" borderId="7" xfId="0" applyFont="1" applyBorder="1"/>
    <xf numFmtId="0" fontId="34" fillId="2" borderId="8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188" fontId="35" fillId="0" borderId="5" xfId="0" applyNumberFormat="1" applyFont="1" applyBorder="1" applyAlignment="1">
      <alignment horizontal="center"/>
    </xf>
    <xf numFmtId="0" fontId="32" fillId="0" borderId="7" xfId="0" applyFont="1" applyBorder="1"/>
    <xf numFmtId="0" fontId="20" fillId="0" borderId="14" xfId="0" applyFont="1" applyBorder="1" applyAlignment="1">
      <alignment horizontal="center"/>
    </xf>
    <xf numFmtId="187" fontId="20" fillId="4" borderId="11" xfId="0" applyNumberFormat="1" applyFont="1" applyFill="1" applyBorder="1"/>
    <xf numFmtId="187" fontId="20" fillId="5" borderId="14" xfId="1" applyFont="1" applyFill="1" applyBorder="1" applyAlignment="1">
      <alignment horizontal="center" wrapText="1"/>
    </xf>
    <xf numFmtId="0" fontId="32" fillId="0" borderId="2" xfId="0" applyFont="1" applyBorder="1"/>
    <xf numFmtId="0" fontId="32" fillId="0" borderId="4" xfId="0" applyFont="1" applyBorder="1" applyAlignment="1">
      <alignment horizontal="center"/>
    </xf>
    <xf numFmtId="188" fontId="32" fillId="2" borderId="10" xfId="0" applyNumberFormat="1" applyFont="1" applyFill="1" applyBorder="1" applyAlignment="1">
      <alignment horizontal="center"/>
    </xf>
    <xf numFmtId="0" fontId="32" fillId="2" borderId="6" xfId="0" applyFont="1" applyFill="1" applyBorder="1"/>
    <xf numFmtId="0" fontId="32" fillId="0" borderId="2" xfId="0" applyFont="1" applyBorder="1" applyAlignment="1">
      <alignment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left"/>
    </xf>
    <xf numFmtId="0" fontId="32" fillId="0" borderId="3" xfId="0" applyFont="1" applyBorder="1" applyAlignment="1">
      <alignment horizontal="center"/>
    </xf>
    <xf numFmtId="43" fontId="32" fillId="0" borderId="4" xfId="1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6" xfId="0" applyFont="1" applyBorder="1"/>
    <xf numFmtId="0" fontId="32" fillId="0" borderId="8" xfId="0" applyFont="1" applyBorder="1"/>
    <xf numFmtId="0" fontId="32" fillId="0" borderId="8" xfId="0" applyFont="1" applyBorder="1" applyAlignment="1">
      <alignment horizontal="center"/>
    </xf>
    <xf numFmtId="43" fontId="32" fillId="0" borderId="8" xfId="1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1" xfId="0" applyFont="1" applyBorder="1"/>
    <xf numFmtId="0" fontId="31" fillId="0" borderId="13" xfId="0" applyFont="1" applyBorder="1"/>
    <xf numFmtId="0" fontId="31" fillId="0" borderId="4" xfId="0" applyFont="1" applyBorder="1"/>
    <xf numFmtId="0" fontId="36" fillId="0" borderId="16" xfId="0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center"/>
    </xf>
    <xf numFmtId="0" fontId="36" fillId="0" borderId="0" xfId="0" applyFont="1"/>
    <xf numFmtId="0" fontId="36" fillId="0" borderId="10" xfId="0" applyFont="1" applyBorder="1"/>
    <xf numFmtId="43" fontId="36" fillId="0" borderId="10" xfId="10" applyFont="1" applyBorder="1"/>
    <xf numFmtId="43" fontId="39" fillId="0" borderId="10" xfId="10" applyFont="1" applyBorder="1"/>
    <xf numFmtId="0" fontId="16" fillId="0" borderId="1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14" fontId="44" fillId="0" borderId="0" xfId="0" applyNumberFormat="1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43" fontId="33" fillId="0" borderId="10" xfId="10" applyFont="1" applyBorder="1" applyAlignment="1">
      <alignment vertical="top"/>
    </xf>
    <xf numFmtId="43" fontId="44" fillId="0" borderId="13" xfId="10" applyFont="1" applyBorder="1"/>
    <xf numFmtId="43" fontId="44" fillId="0" borderId="10" xfId="10" applyFont="1" applyBorder="1" applyAlignment="1">
      <alignment horizontal="right"/>
    </xf>
    <xf numFmtId="0" fontId="33" fillId="0" borderId="3" xfId="0" applyFont="1" applyBorder="1"/>
    <xf numFmtId="0" fontId="46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9" fontId="20" fillId="3" borderId="14" xfId="0" quotePrefix="1" applyNumberFormat="1" applyFont="1" applyFill="1" applyBorder="1" applyAlignment="1">
      <alignment horizontal="center" vertical="center" wrapText="1"/>
    </xf>
    <xf numFmtId="188" fontId="20" fillId="4" borderId="14" xfId="0" quotePrefix="1" applyNumberFormat="1" applyFont="1" applyFill="1" applyBorder="1" applyAlignment="1">
      <alignment horizontal="center" vertical="center"/>
    </xf>
    <xf numFmtId="187" fontId="20" fillId="4" borderId="14" xfId="0" applyNumberFormat="1" applyFont="1" applyFill="1" applyBorder="1" applyAlignment="1">
      <alignment horizontal="center" vertical="center"/>
    </xf>
    <xf numFmtId="187" fontId="20" fillId="5" borderId="14" xfId="1" applyFont="1" applyFill="1" applyBorder="1" applyAlignment="1">
      <alignment horizontal="center" vertical="center" wrapText="1"/>
    </xf>
    <xf numFmtId="187" fontId="20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0" borderId="14" xfId="0" quotePrefix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20" fillId="0" borderId="13" xfId="0" applyFont="1" applyBorder="1"/>
    <xf numFmtId="187" fontId="20" fillId="0" borderId="14" xfId="8" applyNumberFormat="1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horizontal="center" vertical="center"/>
    </xf>
    <xf numFmtId="0" fontId="47" fillId="0" borderId="14" xfId="0" quotePrefix="1" applyFont="1" applyBorder="1" applyAlignment="1">
      <alignment horizontal="center" vertical="center"/>
    </xf>
    <xf numFmtId="188" fontId="20" fillId="0" borderId="14" xfId="0" applyNumberFormat="1" applyFont="1" applyBorder="1" applyAlignment="1">
      <alignment horizontal="center"/>
    </xf>
    <xf numFmtId="187" fontId="20" fillId="0" borderId="14" xfId="1" applyFont="1" applyBorder="1" applyAlignment="1">
      <alignment horizontal="right" vertical="center" wrapText="1"/>
    </xf>
    <xf numFmtId="187" fontId="20" fillId="0" borderId="14" xfId="0" applyNumberFormat="1" applyFont="1" applyBorder="1" applyAlignment="1">
      <alignment horizontal="center"/>
    </xf>
    <xf numFmtId="187" fontId="20" fillId="5" borderId="14" xfId="1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2" fillId="0" borderId="0" xfId="0" applyFont="1" applyAlignment="1">
      <alignment horizontal="left" vertical="top" wrapText="1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4" fillId="0" borderId="7" xfId="0" applyFont="1" applyBorder="1" applyAlignment="1">
      <alignment horizontal="left"/>
    </xf>
    <xf numFmtId="0" fontId="34" fillId="0" borderId="8" xfId="0" applyFont="1" applyBorder="1" applyAlignment="1">
      <alignment horizontal="left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40" fillId="0" borderId="9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8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9" fontId="19" fillId="0" borderId="0" xfId="0" applyNumberFormat="1" applyFont="1" applyAlignment="1">
      <alignment horizontal="center"/>
    </xf>
    <xf numFmtId="188" fontId="12" fillId="0" borderId="4" xfId="5" applyNumberFormat="1" applyFont="1" applyBorder="1" applyAlignment="1">
      <alignment horizontal="center" vertical="center"/>
    </xf>
    <xf numFmtId="188" fontId="12" fillId="0" borderId="8" xfId="5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2" xfId="4" applyFont="1" applyBorder="1" applyAlignment="1">
      <alignment horizontal="right" vertical="center"/>
    </xf>
    <xf numFmtId="0" fontId="11" fillId="0" borderId="3" xfId="4" applyFont="1" applyBorder="1" applyAlignment="1">
      <alignment horizontal="right" vertical="center"/>
    </xf>
    <xf numFmtId="0" fontId="11" fillId="0" borderId="6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6" fillId="0" borderId="14" xfId="0" applyFont="1" applyBorder="1" applyAlignment="1">
      <alignment horizontal="center"/>
    </xf>
    <xf numFmtId="0" fontId="15" fillId="0" borderId="0" xfId="4" applyFont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18" fillId="0" borderId="11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3" xfId="8" xr:uid="{00000000-0005-0000-0000-000002000000}"/>
    <cellStyle name="Comma_ใบแจ้งหนี้ในปท.04 53" xfId="5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2 2 2 4 2 3 2 2 2" xfId="13" xr:uid="{00000000-0005-0000-0000-000007000000}"/>
    <cellStyle name="Normal 3" xfId="2" xr:uid="{00000000-0005-0000-0000-000008000000}"/>
    <cellStyle name="Normal 4" xfId="11" xr:uid="{00000000-0005-0000-0000-000009000000}"/>
    <cellStyle name="Normal 7" xfId="6" xr:uid="{00000000-0005-0000-0000-00000A000000}"/>
    <cellStyle name="Normal 9" xfId="12" xr:uid="{00000000-0005-0000-0000-00000B000000}"/>
    <cellStyle name="Normal_ใบแจ้งหนี้ในปท.04 53" xfId="4" xr:uid="{00000000-0005-0000-0000-00000C000000}"/>
    <cellStyle name="ปกติ 2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234771</xdr:colOff>
      <xdr:row>1</xdr:row>
      <xdr:rowOff>15240</xdr:rowOff>
    </xdr:from>
    <xdr:to>
      <xdr:col>10</xdr:col>
      <xdr:colOff>590005</xdr:colOff>
      <xdr:row>4</xdr:row>
      <xdr:rowOff>24493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6E706E8-D073-484A-B033-DF8079D058D9}"/>
            </a:ext>
          </a:extLst>
        </xdr:cNvPr>
        <xdr:cNvSpPr>
          <a:spLocks noChangeArrowheads="1"/>
        </xdr:cNvSpPr>
      </xdr:nvSpPr>
      <xdr:spPr bwMode="auto">
        <a:xfrm>
          <a:off x="5728415" y="203057"/>
          <a:ext cx="1005886" cy="968461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0</xdr:row>
      <xdr:rowOff>47625</xdr:rowOff>
    </xdr:from>
    <xdr:to>
      <xdr:col>12</xdr:col>
      <xdr:colOff>771525</xdr:colOff>
      <xdr:row>3</xdr:row>
      <xdr:rowOff>104775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962900" y="47625"/>
          <a:ext cx="1343025" cy="87630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Times New Roman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50"/>
  <sheetViews>
    <sheetView topLeftCell="A4" zoomScale="140" zoomScaleNormal="140" workbookViewId="0">
      <selection activeCell="F8" sqref="F8"/>
    </sheetView>
  </sheetViews>
  <sheetFormatPr defaultRowHeight="14.25" x14ac:dyDescent="0.2"/>
  <cols>
    <col min="1" max="1" width="7.25" customWidth="1"/>
    <col min="3" max="3" width="8.125" customWidth="1"/>
    <col min="9" max="9" width="12.125" customWidth="1"/>
    <col min="10" max="11" width="9.75" customWidth="1"/>
  </cols>
  <sheetData>
    <row r="2" spans="1:12" ht="25.5" x14ac:dyDescent="0.35">
      <c r="A2" s="43"/>
      <c r="B2" s="146" t="s">
        <v>49</v>
      </c>
      <c r="C2" s="146"/>
      <c r="D2" s="146"/>
      <c r="E2" s="146"/>
      <c r="F2" s="146"/>
      <c r="G2" s="146"/>
      <c r="H2" s="146"/>
      <c r="I2" s="146"/>
      <c r="J2" s="146"/>
      <c r="K2" s="146"/>
      <c r="L2" s="43"/>
    </row>
    <row r="3" spans="1:12" ht="29.25" x14ac:dyDescent="0.6">
      <c r="A3" s="43"/>
      <c r="B3" s="147" t="s">
        <v>53</v>
      </c>
      <c r="C3" s="147"/>
      <c r="D3" s="147"/>
      <c r="E3" s="147"/>
      <c r="F3" s="147"/>
      <c r="G3" s="147"/>
      <c r="H3" s="147"/>
      <c r="I3" s="147"/>
      <c r="J3" s="147"/>
      <c r="K3" s="147"/>
      <c r="L3" s="43"/>
    </row>
    <row r="4" spans="1:12" ht="21" x14ac:dyDescent="0.2">
      <c r="A4" s="43"/>
      <c r="B4" s="148" t="s">
        <v>54</v>
      </c>
      <c r="C4" s="148"/>
      <c r="D4" s="148"/>
      <c r="E4" s="148"/>
      <c r="F4" s="148"/>
      <c r="G4" s="148"/>
      <c r="H4" s="148"/>
      <c r="I4" s="148"/>
      <c r="J4" s="148"/>
      <c r="K4" s="148"/>
      <c r="L4" s="43"/>
    </row>
    <row r="5" spans="1:12" ht="21" x14ac:dyDescent="0.45">
      <c r="A5" s="43"/>
      <c r="B5" s="149" t="s">
        <v>55</v>
      </c>
      <c r="C5" s="149"/>
      <c r="D5" s="149"/>
      <c r="E5" s="149"/>
      <c r="F5" s="149"/>
      <c r="G5" s="149"/>
      <c r="H5" s="149"/>
      <c r="I5" s="149"/>
      <c r="J5" s="149"/>
      <c r="K5" s="149"/>
      <c r="L5" s="43"/>
    </row>
    <row r="6" spans="1:12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6.25" x14ac:dyDescent="0.55000000000000004">
      <c r="B7" s="166" t="s">
        <v>62</v>
      </c>
      <c r="C7" s="166"/>
      <c r="D7" s="166"/>
      <c r="E7" s="166"/>
      <c r="F7" s="166"/>
      <c r="G7" s="166"/>
      <c r="H7" s="166"/>
      <c r="I7" s="166"/>
      <c r="J7" s="166"/>
      <c r="K7" s="166"/>
    </row>
    <row r="8" spans="1:12" x14ac:dyDescent="0.2">
      <c r="B8" s="70"/>
      <c r="G8" s="69" t="s">
        <v>59</v>
      </c>
      <c r="K8" s="70"/>
      <c r="L8" s="64"/>
    </row>
    <row r="9" spans="1:12" ht="15" customHeight="1" x14ac:dyDescent="0.3">
      <c r="B9" s="88"/>
      <c r="C9" s="18"/>
      <c r="D9" s="160" t="str">
        <f>ค่าขนส่ง!C11</f>
        <v>C.Y Logistics (Thailand) Co., Ltd.</v>
      </c>
      <c r="E9" s="160"/>
      <c r="F9" s="160"/>
      <c r="G9" s="160"/>
      <c r="H9" s="160"/>
      <c r="I9" s="161"/>
      <c r="J9" s="88" t="s">
        <v>21</v>
      </c>
      <c r="K9" s="89" t="str">
        <f>ค่าขนส่ง!G8</f>
        <v>CYIV2606-023</v>
      </c>
      <c r="L9" s="71"/>
    </row>
    <row r="10" spans="1:12" ht="15" customHeight="1" x14ac:dyDescent="0.3">
      <c r="B10" s="76" t="s">
        <v>20</v>
      </c>
      <c r="C10" s="20"/>
      <c r="D10" s="162"/>
      <c r="E10" s="162"/>
      <c r="F10" s="162"/>
      <c r="G10" s="162"/>
      <c r="H10" s="162"/>
      <c r="I10" s="163"/>
      <c r="J10" s="76" t="s">
        <v>22</v>
      </c>
      <c r="K10" s="90">
        <f>ค่าขนส่ง!M8</f>
        <v>46202</v>
      </c>
    </row>
    <row r="11" spans="1:12" ht="15" customHeight="1" x14ac:dyDescent="0.3">
      <c r="B11" s="76"/>
      <c r="C11" s="20"/>
      <c r="D11" s="164"/>
      <c r="E11" s="164"/>
      <c r="F11" s="164"/>
      <c r="G11" s="164"/>
      <c r="H11" s="164"/>
      <c r="I11" s="165"/>
      <c r="J11" s="91" t="s">
        <v>23</v>
      </c>
      <c r="K11" s="81"/>
    </row>
    <row r="12" spans="1:12" ht="15.75" customHeight="1" x14ac:dyDescent="0.3">
      <c r="B12" s="88" t="s">
        <v>24</v>
      </c>
      <c r="C12" s="18"/>
      <c r="D12" s="156" t="str">
        <f>ค่าขนส่ง!C12</f>
        <v>110 Psk building Room 4503 Floor 4 Inthamara18 VibhavadiRungsit Rd.,RatchadaPisek Dindeang, Bangkok 10400</v>
      </c>
      <c r="E12" s="156"/>
      <c r="F12" s="156"/>
      <c r="G12" s="156"/>
      <c r="H12" s="156"/>
      <c r="I12" s="157"/>
      <c r="J12" s="73"/>
      <c r="K12" s="21"/>
    </row>
    <row r="13" spans="1:12" ht="15" customHeight="1" x14ac:dyDescent="0.35">
      <c r="B13" s="79"/>
      <c r="C13" s="20"/>
      <c r="D13" s="74" t="str">
        <f>ค่าขนส่ง!C13</f>
        <v>Tax ID : 0105569054935</v>
      </c>
      <c r="E13" s="74"/>
      <c r="F13" s="74"/>
      <c r="G13" s="74"/>
      <c r="H13" s="74"/>
      <c r="I13" s="75"/>
      <c r="J13" s="92" t="s">
        <v>25</v>
      </c>
      <c r="K13" s="93" t="s">
        <v>26</v>
      </c>
    </row>
    <row r="14" spans="1:12" ht="15" customHeight="1" x14ac:dyDescent="0.3">
      <c r="B14" s="22"/>
      <c r="C14" s="23"/>
      <c r="D14" s="154"/>
      <c r="E14" s="154"/>
      <c r="F14" s="23"/>
      <c r="G14" s="23"/>
      <c r="H14" s="23"/>
      <c r="I14" s="24"/>
      <c r="J14" s="82"/>
      <c r="K14" s="83"/>
    </row>
    <row r="15" spans="1:12" ht="15" customHeight="1" x14ac:dyDescent="0.3">
      <c r="B15" s="94" t="s">
        <v>27</v>
      </c>
      <c r="C15" s="95"/>
      <c r="D15" s="96" t="s">
        <v>28</v>
      </c>
      <c r="E15" s="97"/>
      <c r="F15" s="97"/>
      <c r="G15" s="97"/>
      <c r="H15" s="89"/>
      <c r="I15" s="89" t="s">
        <v>29</v>
      </c>
      <c r="J15" s="98" t="s">
        <v>41</v>
      </c>
      <c r="K15" s="94" t="s">
        <v>9</v>
      </c>
    </row>
    <row r="16" spans="1:12" ht="15" customHeight="1" x14ac:dyDescent="0.3">
      <c r="B16" s="99" t="s">
        <v>30</v>
      </c>
      <c r="C16" s="100"/>
      <c r="D16" s="84" t="s">
        <v>31</v>
      </c>
      <c r="E16" s="84"/>
      <c r="F16" s="84"/>
      <c r="G16" s="84"/>
      <c r="H16" s="101"/>
      <c r="I16" s="102" t="s">
        <v>32</v>
      </c>
      <c r="J16" s="103" t="s">
        <v>42</v>
      </c>
      <c r="K16" s="99" t="s">
        <v>33</v>
      </c>
    </row>
    <row r="17" spans="2:11" ht="15" customHeight="1" x14ac:dyDescent="0.2">
      <c r="B17" s="117">
        <v>1</v>
      </c>
      <c r="C17" s="118" t="str">
        <f>ค่าขนส่ง!$G$8&amp;"  "&amp;ค่าขนส่ง!$G16&amp;""</f>
        <v xml:space="preserve">CYIV2606-023  JUN TAI </v>
      </c>
      <c r="D17" s="118"/>
      <c r="E17" s="119"/>
      <c r="F17" s="120"/>
      <c r="G17" s="121"/>
      <c r="H17" s="122"/>
      <c r="I17" s="123">
        <v>1</v>
      </c>
      <c r="J17" s="123">
        <f>ค่าขนส่ง!$M$33</f>
        <v>13214.98</v>
      </c>
      <c r="K17" s="123">
        <f>J17*I17</f>
        <v>13214.98</v>
      </c>
    </row>
    <row r="18" spans="2:11" ht="15" customHeight="1" x14ac:dyDescent="0.4">
      <c r="B18" s="108"/>
      <c r="C18" s="109"/>
      <c r="D18" s="109"/>
      <c r="E18" s="110"/>
      <c r="F18" s="111"/>
      <c r="G18" s="112"/>
      <c r="H18" s="113"/>
      <c r="I18" s="114"/>
      <c r="J18" s="114"/>
      <c r="K18" s="115"/>
    </row>
    <row r="19" spans="2:11" ht="15" customHeight="1" x14ac:dyDescent="0.2">
      <c r="B19" s="32"/>
      <c r="C19" s="25"/>
      <c r="D19" s="26"/>
      <c r="E19" s="27"/>
      <c r="F19" s="28"/>
      <c r="G19" s="29"/>
      <c r="H19" s="30"/>
      <c r="I19" s="31"/>
      <c r="J19" s="31"/>
      <c r="K19" s="31"/>
    </row>
    <row r="20" spans="2:11" ht="15" customHeight="1" x14ac:dyDescent="0.2">
      <c r="B20" s="32"/>
      <c r="C20" s="25"/>
      <c r="D20" s="26"/>
      <c r="E20" s="27"/>
      <c r="F20" s="28"/>
      <c r="G20" s="29"/>
      <c r="H20" s="30"/>
      <c r="I20" s="31"/>
      <c r="J20" s="31"/>
      <c r="K20" s="31"/>
    </row>
    <row r="21" spans="2:11" ht="15" customHeight="1" x14ac:dyDescent="0.2">
      <c r="B21" s="35"/>
      <c r="C21" s="25"/>
      <c r="D21" s="28"/>
      <c r="E21" s="36"/>
      <c r="F21" s="28"/>
      <c r="G21" s="28"/>
      <c r="H21" s="34"/>
      <c r="I21" s="31"/>
      <c r="J21" s="31"/>
      <c r="K21" s="31"/>
    </row>
    <row r="22" spans="2:11" ht="15" customHeight="1" x14ac:dyDescent="0.2">
      <c r="B22" s="35"/>
      <c r="C22" s="25"/>
      <c r="D22" s="28"/>
      <c r="E22" s="36"/>
      <c r="F22" s="28"/>
      <c r="G22" s="28"/>
      <c r="H22" s="34"/>
      <c r="I22" s="31"/>
      <c r="J22" s="31"/>
      <c r="K22" s="31"/>
    </row>
    <row r="23" spans="2:11" ht="15" customHeight="1" x14ac:dyDescent="0.2">
      <c r="B23" s="35"/>
      <c r="C23" s="25"/>
      <c r="D23" s="28"/>
      <c r="E23" s="36"/>
      <c r="F23" s="28"/>
      <c r="G23" s="28"/>
      <c r="H23" s="34"/>
      <c r="I23" s="31"/>
      <c r="J23" s="31"/>
      <c r="K23" s="31"/>
    </row>
    <row r="24" spans="2:11" ht="15" customHeight="1" x14ac:dyDescent="0.2">
      <c r="B24" s="35"/>
      <c r="C24" s="25"/>
      <c r="D24" s="28" t="s">
        <v>61</v>
      </c>
      <c r="E24" s="28"/>
      <c r="F24" s="28"/>
      <c r="G24" s="28"/>
      <c r="H24" s="34"/>
      <c r="I24" s="31"/>
      <c r="J24" s="31"/>
      <c r="K24" s="31"/>
    </row>
    <row r="25" spans="2:11" ht="15" customHeight="1" x14ac:dyDescent="0.2">
      <c r="B25" s="32"/>
      <c r="C25" s="25"/>
      <c r="D25" s="26"/>
      <c r="E25" s="27"/>
      <c r="F25" s="28"/>
      <c r="G25" s="29"/>
      <c r="H25" s="30"/>
      <c r="I25" s="31"/>
      <c r="J25" s="31"/>
      <c r="K25" s="31"/>
    </row>
    <row r="26" spans="2:11" ht="15" customHeight="1" x14ac:dyDescent="0.2">
      <c r="B26" s="35"/>
      <c r="C26" s="25"/>
      <c r="D26" s="28"/>
      <c r="E26" s="36"/>
      <c r="F26" s="28"/>
      <c r="G26" s="28"/>
      <c r="H26" s="34"/>
      <c r="I26" s="31"/>
      <c r="J26" s="31"/>
      <c r="K26" s="31"/>
    </row>
    <row r="27" spans="2:11" ht="15" customHeight="1" x14ac:dyDescent="0.2">
      <c r="B27" s="35"/>
      <c r="C27" s="25"/>
      <c r="D27" s="28"/>
      <c r="E27" s="36"/>
      <c r="F27" s="28"/>
      <c r="G27" s="28"/>
      <c r="H27" s="34"/>
      <c r="I27" s="31"/>
      <c r="J27" s="31"/>
      <c r="K27" s="31"/>
    </row>
    <row r="28" spans="2:11" ht="15" customHeight="1" x14ac:dyDescent="0.2">
      <c r="B28" s="35"/>
      <c r="C28" s="25"/>
      <c r="D28" s="28"/>
      <c r="E28" s="36"/>
      <c r="F28" s="28"/>
      <c r="G28" s="28"/>
      <c r="H28" s="34"/>
      <c r="I28" s="31"/>
      <c r="J28" s="31"/>
      <c r="K28" s="31"/>
    </row>
    <row r="29" spans="2:11" ht="15" customHeight="1" x14ac:dyDescent="0.2">
      <c r="B29" s="35"/>
      <c r="C29" s="25"/>
      <c r="D29" s="28"/>
      <c r="E29" s="28"/>
      <c r="F29" s="28"/>
      <c r="G29" s="28"/>
      <c r="H29" s="34"/>
      <c r="I29" s="31"/>
      <c r="J29" s="31"/>
      <c r="K29" s="31"/>
    </row>
    <row r="30" spans="2:11" ht="15" customHeight="1" x14ac:dyDescent="0.2">
      <c r="B30" s="32"/>
      <c r="C30" s="25"/>
      <c r="D30" s="26"/>
      <c r="E30" s="27"/>
      <c r="F30" s="28"/>
      <c r="G30" s="29"/>
      <c r="H30" s="30"/>
      <c r="I30" s="31"/>
      <c r="J30" s="31"/>
      <c r="K30" s="31"/>
    </row>
    <row r="31" spans="2:11" ht="15" customHeight="1" x14ac:dyDescent="0.2">
      <c r="B31" s="35"/>
      <c r="C31" s="25"/>
      <c r="D31" s="28"/>
      <c r="E31" s="36"/>
      <c r="F31" s="28"/>
      <c r="G31" s="28"/>
      <c r="H31" s="34"/>
      <c r="I31" s="31"/>
      <c r="J31" s="31"/>
      <c r="K31" s="31"/>
    </row>
    <row r="32" spans="2:11" ht="15" customHeight="1" x14ac:dyDescent="0.2">
      <c r="B32" s="35"/>
      <c r="C32" s="25"/>
      <c r="D32" s="28"/>
      <c r="E32" s="36"/>
      <c r="F32" s="28"/>
      <c r="G32" s="28"/>
      <c r="H32" s="34"/>
      <c r="I32" s="31"/>
      <c r="J32" s="31"/>
      <c r="K32" s="31"/>
    </row>
    <row r="33" spans="1:12" ht="15" customHeight="1" x14ac:dyDescent="0.2">
      <c r="B33" s="35"/>
      <c r="C33" s="25"/>
      <c r="D33" s="28"/>
      <c r="E33" s="36"/>
      <c r="F33" s="28"/>
      <c r="G33" s="28"/>
      <c r="H33" s="34"/>
      <c r="I33" s="31"/>
      <c r="J33" s="31"/>
      <c r="K33" s="31"/>
    </row>
    <row r="34" spans="1:12" ht="15" customHeight="1" x14ac:dyDescent="0.2">
      <c r="B34" s="35"/>
      <c r="C34" s="25"/>
      <c r="D34" s="28"/>
      <c r="E34" s="28"/>
      <c r="F34" s="28"/>
      <c r="G34" s="28"/>
      <c r="H34" s="34"/>
      <c r="I34" s="31"/>
      <c r="J34" s="31"/>
      <c r="K34" s="31"/>
    </row>
    <row r="35" spans="1:12" ht="15" customHeight="1" x14ac:dyDescent="0.2">
      <c r="B35" s="35"/>
      <c r="C35" s="25"/>
      <c r="D35" s="28"/>
      <c r="E35" s="28"/>
      <c r="F35" s="28"/>
      <c r="G35" s="28"/>
      <c r="H35" s="34"/>
      <c r="I35" s="31"/>
      <c r="J35" s="31"/>
      <c r="K35" s="31"/>
    </row>
    <row r="36" spans="1:12" ht="15" customHeight="1" x14ac:dyDescent="0.2">
      <c r="B36" s="32"/>
      <c r="C36" s="25"/>
      <c r="D36" s="33"/>
      <c r="E36" s="28"/>
      <c r="F36" s="28"/>
      <c r="G36" s="28"/>
      <c r="H36" s="34"/>
      <c r="I36" s="31"/>
      <c r="J36" s="31"/>
      <c r="K36" s="31"/>
    </row>
    <row r="37" spans="1:12" ht="15" customHeight="1" x14ac:dyDescent="0.2">
      <c r="B37" s="37"/>
      <c r="C37" s="38"/>
      <c r="D37" s="39"/>
      <c r="E37" s="39"/>
      <c r="F37" s="39"/>
      <c r="G37" s="39"/>
      <c r="H37" s="40"/>
      <c r="I37" s="41"/>
      <c r="J37" s="41"/>
      <c r="K37" s="31"/>
    </row>
    <row r="38" spans="1:12" ht="15" customHeight="1" x14ac:dyDescent="0.35">
      <c r="B38" s="104" t="s">
        <v>34</v>
      </c>
      <c r="C38" s="80"/>
      <c r="D38" s="158" t="str">
        <f>BAHTTEXT(K40)</f>
        <v>หนึ่งหมื่นสามพันสองร้อยสิบสี่บาทเก้าสิบแปดสตางค์</v>
      </c>
      <c r="E38" s="158"/>
      <c r="F38" s="158"/>
      <c r="G38" s="158"/>
      <c r="H38" s="159"/>
      <c r="I38" s="105" t="s">
        <v>35</v>
      </c>
      <c r="J38" s="106"/>
      <c r="K38" s="124">
        <f>SUM(K15:K37)</f>
        <v>13214.98</v>
      </c>
    </row>
    <row r="39" spans="1:12" ht="15" customHeight="1" x14ac:dyDescent="0.35">
      <c r="B39" s="77"/>
      <c r="C39" s="72"/>
      <c r="D39" s="72"/>
      <c r="E39" s="72"/>
      <c r="F39" s="72"/>
      <c r="G39" s="72"/>
      <c r="H39" s="72"/>
      <c r="I39" s="78" t="s">
        <v>36</v>
      </c>
      <c r="J39" s="107"/>
      <c r="K39" s="125">
        <v>0</v>
      </c>
    </row>
    <row r="40" spans="1:12" ht="15" customHeight="1" x14ac:dyDescent="0.35">
      <c r="B40" s="77"/>
      <c r="C40" s="72"/>
      <c r="D40" s="72"/>
      <c r="E40" s="72"/>
      <c r="F40" s="72"/>
      <c r="G40" s="72"/>
      <c r="H40" s="72"/>
      <c r="I40" s="105" t="s">
        <v>37</v>
      </c>
      <c r="J40" s="106"/>
      <c r="K40" s="124">
        <f>SUM(K38:K39)</f>
        <v>13214.98</v>
      </c>
    </row>
    <row r="41" spans="1:12" ht="15" customHeight="1" x14ac:dyDescent="0.2">
      <c r="B41" s="19"/>
      <c r="C41" s="20"/>
      <c r="D41" s="20"/>
      <c r="E41" s="20"/>
      <c r="F41" s="20"/>
      <c r="G41" s="20"/>
      <c r="H41" s="20"/>
      <c r="I41" s="20"/>
      <c r="J41" s="20"/>
      <c r="K41" s="42"/>
    </row>
    <row r="42" spans="1:12" ht="15" customHeight="1" x14ac:dyDescent="0.2">
      <c r="B42" s="19"/>
      <c r="C42" s="20"/>
      <c r="D42" s="20"/>
      <c r="E42" s="20"/>
      <c r="F42" s="20"/>
      <c r="G42" s="20"/>
      <c r="H42" s="20"/>
      <c r="I42" s="20"/>
      <c r="J42" s="20"/>
      <c r="K42" s="42"/>
    </row>
    <row r="43" spans="1:12" ht="15" customHeight="1" x14ac:dyDescent="0.2">
      <c r="B43" s="22"/>
      <c r="C43" s="23"/>
      <c r="D43" s="23"/>
      <c r="E43" s="20"/>
      <c r="F43" s="23"/>
      <c r="G43" s="23"/>
      <c r="H43" s="23"/>
      <c r="I43" s="20"/>
      <c r="J43" s="23"/>
      <c r="K43" s="24"/>
    </row>
    <row r="44" spans="1:12" ht="15" customHeight="1" x14ac:dyDescent="0.35">
      <c r="B44" s="150" t="s">
        <v>38</v>
      </c>
      <c r="C44" s="151"/>
      <c r="D44" s="151"/>
      <c r="E44" s="74"/>
      <c r="F44" s="74"/>
      <c r="G44" s="126" t="s">
        <v>39</v>
      </c>
      <c r="H44" s="126"/>
      <c r="I44" s="74"/>
      <c r="J44" s="152" t="s">
        <v>40</v>
      </c>
      <c r="K44" s="153"/>
    </row>
    <row r="45" spans="1:12" ht="15" customHeight="1" x14ac:dyDescent="0.2">
      <c r="B45" s="19"/>
      <c r="C45" s="20"/>
      <c r="D45" s="20"/>
      <c r="E45" s="20"/>
      <c r="F45" s="20"/>
      <c r="G45" s="20"/>
      <c r="H45" s="20"/>
      <c r="I45" s="20"/>
      <c r="J45" s="20"/>
      <c r="K45" s="42"/>
    </row>
    <row r="46" spans="1:12" ht="15" customHeight="1" x14ac:dyDescent="0.2">
      <c r="B46" s="22"/>
      <c r="C46" s="23"/>
      <c r="D46" s="23"/>
      <c r="E46" s="23"/>
      <c r="F46" s="23"/>
      <c r="G46" s="23"/>
      <c r="H46" s="23"/>
      <c r="I46" s="23"/>
      <c r="J46" s="23"/>
      <c r="K46" s="24"/>
    </row>
    <row r="48" spans="1:12" ht="14.45" customHeight="1" x14ac:dyDescent="0.2">
      <c r="A48" s="44"/>
      <c r="B48" s="155" t="s">
        <v>19</v>
      </c>
      <c r="C48" s="155"/>
      <c r="D48" s="155"/>
      <c r="E48" s="155"/>
      <c r="F48" s="155"/>
      <c r="G48" s="155"/>
      <c r="H48" s="155"/>
      <c r="I48" s="155"/>
      <c r="J48" s="155"/>
      <c r="K48" s="155"/>
      <c r="L48" s="44"/>
    </row>
    <row r="49" spans="1:12" x14ac:dyDescent="0.2">
      <c r="A49" s="44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44"/>
    </row>
    <row r="50" spans="1:12" x14ac:dyDescent="0.2"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</sheetData>
  <mergeCells count="12">
    <mergeCell ref="B48:K50"/>
    <mergeCell ref="D12:I12"/>
    <mergeCell ref="D38:H38"/>
    <mergeCell ref="D9:I11"/>
    <mergeCell ref="B7:K7"/>
    <mergeCell ref="B2:K2"/>
    <mergeCell ref="B3:K3"/>
    <mergeCell ref="B4:K4"/>
    <mergeCell ref="B5:K5"/>
    <mergeCell ref="B44:D44"/>
    <mergeCell ref="J44:K44"/>
    <mergeCell ref="D14:E14"/>
  </mergeCells>
  <printOptions horizontalCentered="1" verticalCentered="1"/>
  <pageMargins left="0" right="0" top="0" bottom="0" header="0" footer="0"/>
  <pageSetup paperSize="9" scale="87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42"/>
  <sheetViews>
    <sheetView tabSelected="1" topLeftCell="A7" zoomScale="120" zoomScaleNormal="120" workbookViewId="0">
      <selection activeCell="H19" sqref="H19"/>
    </sheetView>
  </sheetViews>
  <sheetFormatPr defaultColWidth="9" defaultRowHeight="19.5" x14ac:dyDescent="0.25"/>
  <cols>
    <col min="1" max="1" width="6.125" style="1" bestFit="1" customWidth="1"/>
    <col min="2" max="2" width="11.625" style="1" bestFit="1" customWidth="1"/>
    <col min="3" max="3" width="5.875" style="1" customWidth="1"/>
    <col min="4" max="4" width="17" style="1" customWidth="1"/>
    <col min="5" max="5" width="8.125" style="1" customWidth="1"/>
    <col min="6" max="6" width="11.875" style="1" customWidth="1"/>
    <col min="7" max="7" width="9.625" style="1" customWidth="1"/>
    <col min="8" max="8" width="17.375" style="1" customWidth="1"/>
    <col min="9" max="9" width="11" style="1" customWidth="1"/>
    <col min="10" max="10" width="11.125" style="1" customWidth="1"/>
    <col min="11" max="11" width="9.125" style="1" customWidth="1"/>
    <col min="12" max="12" width="11.375" style="1" customWidth="1"/>
    <col min="13" max="13" width="13.125" style="1" customWidth="1"/>
    <col min="14" max="17" width="9" style="1"/>
    <col min="18" max="18" width="14.125" style="1" customWidth="1"/>
    <col min="19" max="19" width="12" style="1" customWidth="1"/>
    <col min="20" max="20" width="14.375" style="1" customWidth="1"/>
    <col min="21" max="21" width="12.375" style="1" customWidth="1"/>
    <col min="22" max="22" width="9" style="1"/>
    <col min="23" max="23" width="13.625" style="1" customWidth="1"/>
    <col min="24" max="16384" width="9" style="1"/>
  </cols>
  <sheetData>
    <row r="1" spans="1:13" ht="24.95" customHeight="1" x14ac:dyDescent="0.35">
      <c r="A1" s="196" t="s">
        <v>49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8"/>
    </row>
    <row r="2" spans="1:13" ht="24.95" customHeight="1" x14ac:dyDescent="0.6">
      <c r="A2" s="199" t="s">
        <v>50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200"/>
    </row>
    <row r="3" spans="1:13" ht="20.100000000000001" customHeight="1" x14ac:dyDescent="0.25">
      <c r="A3" s="201" t="s">
        <v>51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202"/>
    </row>
    <row r="4" spans="1:13" ht="20.100000000000001" customHeight="1" x14ac:dyDescent="0.45">
      <c r="A4" s="203" t="s">
        <v>52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204"/>
    </row>
    <row r="5" spans="1:13" ht="20.100000000000001" customHeight="1" x14ac:dyDescent="0.25">
      <c r="A5" s="205" t="s">
        <v>0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7"/>
    </row>
    <row r="6" spans="1:13" ht="24.95" customHeight="1" x14ac:dyDescent="0.25">
      <c r="A6" s="205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7"/>
    </row>
    <row r="7" spans="1:13" ht="24.95" customHeight="1" x14ac:dyDescent="0.25">
      <c r="A7" s="208"/>
      <c r="B7" s="209"/>
      <c r="C7" s="209"/>
      <c r="D7" s="209"/>
      <c r="E7" s="209"/>
      <c r="F7" s="209"/>
      <c r="G7" s="209"/>
      <c r="H7" s="209"/>
      <c r="I7" s="209"/>
      <c r="J7" s="209"/>
      <c r="K7" s="206"/>
      <c r="L7" s="209"/>
      <c r="M7" s="210"/>
    </row>
    <row r="8" spans="1:13" ht="21" customHeight="1" x14ac:dyDescent="0.25">
      <c r="A8" s="187" t="s">
        <v>43</v>
      </c>
      <c r="B8" s="188"/>
      <c r="C8" s="188"/>
      <c r="D8" s="188"/>
      <c r="E8" s="188"/>
      <c r="F8" s="188"/>
      <c r="G8" s="185" t="s">
        <v>70</v>
      </c>
      <c r="H8" s="185"/>
      <c r="I8" s="185"/>
      <c r="J8" s="185"/>
      <c r="K8" s="65"/>
      <c r="L8" s="67" t="s">
        <v>15</v>
      </c>
      <c r="M8" s="180">
        <v>46202</v>
      </c>
    </row>
    <row r="9" spans="1:13" ht="26.25" customHeight="1" x14ac:dyDescent="0.25">
      <c r="A9" s="189"/>
      <c r="B9" s="190"/>
      <c r="C9" s="190"/>
      <c r="D9" s="190"/>
      <c r="E9" s="190"/>
      <c r="F9" s="190"/>
      <c r="G9" s="186"/>
      <c r="H9" s="186"/>
      <c r="I9" s="186"/>
      <c r="J9" s="186"/>
      <c r="K9" s="66"/>
      <c r="L9" s="68" t="s">
        <v>1</v>
      </c>
      <c r="M9" s="181"/>
    </row>
    <row r="10" spans="1:13" ht="24.95" customHeight="1" x14ac:dyDescent="0.55000000000000004">
      <c r="A10" s="182" t="s">
        <v>61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4"/>
    </row>
    <row r="11" spans="1:13" ht="31.5" x14ac:dyDescent="0.65">
      <c r="A11" s="49" t="s">
        <v>46</v>
      </c>
      <c r="B11" s="50"/>
      <c r="C11" s="52" t="s">
        <v>64</v>
      </c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22.5" customHeight="1" x14ac:dyDescent="0.5">
      <c r="A12" s="46" t="s">
        <v>44</v>
      </c>
      <c r="B12" s="47"/>
      <c r="C12" s="192" t="s">
        <v>65</v>
      </c>
      <c r="D12" s="192"/>
      <c r="E12" s="192"/>
      <c r="F12" s="192"/>
      <c r="G12" s="192"/>
      <c r="H12" s="192"/>
      <c r="I12" s="192"/>
      <c r="J12" s="192"/>
      <c r="K12" s="47"/>
      <c r="L12" s="47"/>
      <c r="M12" s="48"/>
    </row>
    <row r="13" spans="1:13" ht="23.25" customHeight="1" x14ac:dyDescent="0.5">
      <c r="A13" s="46" t="s">
        <v>45</v>
      </c>
      <c r="B13" s="47"/>
      <c r="C13" s="47" t="s">
        <v>66</v>
      </c>
      <c r="D13" s="47"/>
      <c r="E13" s="47"/>
      <c r="F13" s="47"/>
      <c r="G13" s="47"/>
      <c r="H13" s="47"/>
      <c r="I13" s="47"/>
      <c r="J13" s="47"/>
      <c r="K13" s="47"/>
      <c r="L13" s="47"/>
      <c r="M13" s="62"/>
    </row>
    <row r="14" spans="1:13" ht="21.95" customHeight="1" x14ac:dyDescent="0.45">
      <c r="A14" s="2" t="s">
        <v>5</v>
      </c>
      <c r="B14" s="191" t="s">
        <v>6</v>
      </c>
      <c r="C14" s="191"/>
      <c r="D14" s="194" t="s">
        <v>58</v>
      </c>
      <c r="E14" s="194" t="s">
        <v>18</v>
      </c>
      <c r="F14" s="2" t="s">
        <v>10</v>
      </c>
      <c r="G14" s="194" t="s">
        <v>4</v>
      </c>
      <c r="H14" s="194" t="s">
        <v>63</v>
      </c>
      <c r="I14" s="2" t="s">
        <v>7</v>
      </c>
      <c r="J14" s="2" t="s">
        <v>47</v>
      </c>
      <c r="K14" s="116" t="s">
        <v>69</v>
      </c>
      <c r="L14" s="2" t="s">
        <v>48</v>
      </c>
      <c r="M14" s="2" t="s">
        <v>9</v>
      </c>
    </row>
    <row r="15" spans="1:13" ht="21.95" customHeight="1" x14ac:dyDescent="0.45">
      <c r="A15" s="2" t="s">
        <v>2</v>
      </c>
      <c r="B15" s="193" t="s">
        <v>3</v>
      </c>
      <c r="C15" s="193"/>
      <c r="D15" s="195"/>
      <c r="E15" s="195"/>
      <c r="F15" s="63" t="s">
        <v>11</v>
      </c>
      <c r="G15" s="195"/>
      <c r="H15" s="195"/>
      <c r="I15" s="63" t="s">
        <v>1</v>
      </c>
      <c r="J15" s="63" t="s">
        <v>56</v>
      </c>
      <c r="K15" s="127"/>
      <c r="L15" s="63" t="s">
        <v>57</v>
      </c>
      <c r="M15" s="63" t="s">
        <v>8</v>
      </c>
    </row>
    <row r="16" spans="1:13" ht="24" customHeight="1" x14ac:dyDescent="0.5">
      <c r="A16" s="85">
        <v>1</v>
      </c>
      <c r="B16" s="211" t="s">
        <v>67</v>
      </c>
      <c r="C16" s="211"/>
      <c r="D16" s="134" t="s">
        <v>71</v>
      </c>
      <c r="E16" s="128">
        <v>40</v>
      </c>
      <c r="F16" s="134" t="s">
        <v>73</v>
      </c>
      <c r="G16" s="128" t="s">
        <v>68</v>
      </c>
      <c r="H16" s="129" t="s">
        <v>75</v>
      </c>
      <c r="I16" s="130">
        <v>46197</v>
      </c>
      <c r="J16" s="131">
        <v>5000</v>
      </c>
      <c r="K16" s="131"/>
      <c r="L16" s="145">
        <v>1607.49</v>
      </c>
      <c r="M16" s="133">
        <f>SUM(J16:L16)</f>
        <v>6607.49</v>
      </c>
    </row>
    <row r="17" spans="1:25" ht="24" customHeight="1" x14ac:dyDescent="0.5">
      <c r="A17" s="85">
        <v>2</v>
      </c>
      <c r="B17" s="211" t="s">
        <v>67</v>
      </c>
      <c r="C17" s="211"/>
      <c r="D17" s="134" t="s">
        <v>72</v>
      </c>
      <c r="E17" s="128">
        <v>40</v>
      </c>
      <c r="F17" s="134" t="s">
        <v>74</v>
      </c>
      <c r="G17" s="128" t="s">
        <v>68</v>
      </c>
      <c r="H17" s="129" t="s">
        <v>75</v>
      </c>
      <c r="I17" s="130">
        <v>46197</v>
      </c>
      <c r="J17" s="131">
        <v>5000</v>
      </c>
      <c r="K17" s="131"/>
      <c r="L17" s="145">
        <v>1607.49</v>
      </c>
      <c r="M17" s="133">
        <f>SUM(J17:L17)</f>
        <v>6607.49</v>
      </c>
    </row>
    <row r="18" spans="1:25" ht="24" customHeight="1" x14ac:dyDescent="0.5">
      <c r="A18" s="85"/>
      <c r="B18" s="211"/>
      <c r="C18" s="211"/>
      <c r="D18" s="134"/>
      <c r="E18" s="128"/>
      <c r="F18" s="134"/>
      <c r="G18" s="128"/>
      <c r="H18" s="129"/>
      <c r="I18" s="130"/>
      <c r="J18" s="131"/>
      <c r="K18" s="131"/>
      <c r="L18" s="145"/>
      <c r="M18" s="133"/>
      <c r="W18" s="55"/>
      <c r="Y18" s="56"/>
    </row>
    <row r="19" spans="1:25" ht="24" customHeight="1" x14ac:dyDescent="0.5">
      <c r="A19" s="85"/>
      <c r="B19" s="211"/>
      <c r="C19" s="211"/>
      <c r="D19" s="134"/>
      <c r="E19" s="128"/>
      <c r="F19" s="134"/>
      <c r="G19" s="128"/>
      <c r="H19" s="129"/>
      <c r="I19" s="130"/>
      <c r="J19" s="131"/>
      <c r="K19" s="131"/>
      <c r="L19" s="145"/>
      <c r="M19" s="133"/>
      <c r="W19" s="55"/>
      <c r="Y19" s="56"/>
    </row>
    <row r="20" spans="1:25" ht="24" customHeight="1" x14ac:dyDescent="0.5">
      <c r="A20" s="85"/>
      <c r="B20" s="211"/>
      <c r="C20" s="211"/>
      <c r="D20" s="134"/>
      <c r="E20" s="128"/>
      <c r="F20" s="134"/>
      <c r="G20" s="128"/>
      <c r="H20" s="129"/>
      <c r="I20" s="130"/>
      <c r="J20" s="131"/>
      <c r="K20" s="131"/>
      <c r="L20" s="145"/>
      <c r="M20" s="133"/>
      <c r="W20" s="55"/>
      <c r="Y20" s="56"/>
    </row>
    <row r="21" spans="1:25" ht="24" customHeight="1" x14ac:dyDescent="0.5">
      <c r="A21" s="85"/>
      <c r="B21" s="211"/>
      <c r="C21" s="211"/>
      <c r="D21" s="85"/>
      <c r="E21" s="128"/>
      <c r="F21" s="85"/>
      <c r="G21" s="128"/>
      <c r="H21" s="129"/>
      <c r="I21" s="130"/>
      <c r="J21" s="131"/>
      <c r="K21" s="86"/>
      <c r="L21" s="132"/>
      <c r="M21" s="133"/>
    </row>
    <row r="22" spans="1:25" ht="24" customHeight="1" x14ac:dyDescent="0.5">
      <c r="A22" s="85"/>
      <c r="B22" s="211"/>
      <c r="C22" s="211"/>
      <c r="D22" s="85"/>
      <c r="E22" s="128"/>
      <c r="F22" s="85"/>
      <c r="G22" s="128"/>
      <c r="H22" s="129"/>
      <c r="I22" s="130"/>
      <c r="J22" s="131"/>
      <c r="K22" s="86"/>
      <c r="L22" s="87"/>
      <c r="M22" s="133"/>
    </row>
    <row r="23" spans="1:25" ht="24" customHeight="1" x14ac:dyDescent="0.5">
      <c r="A23" s="85"/>
      <c r="B23" s="211"/>
      <c r="C23" s="211"/>
      <c r="D23" s="85"/>
      <c r="E23" s="128"/>
      <c r="F23" s="85"/>
      <c r="G23" s="128"/>
      <c r="H23" s="129"/>
      <c r="I23" s="130"/>
      <c r="J23" s="131"/>
      <c r="K23" s="86"/>
      <c r="L23" s="87"/>
      <c r="M23" s="133"/>
    </row>
    <row r="24" spans="1:25" ht="24" customHeight="1" x14ac:dyDescent="0.5">
      <c r="A24" s="85"/>
      <c r="B24" s="211"/>
      <c r="C24" s="211"/>
      <c r="D24" s="135"/>
      <c r="E24" s="128"/>
      <c r="F24" s="136"/>
      <c r="G24" s="128"/>
      <c r="H24" s="129"/>
      <c r="I24" s="130"/>
      <c r="J24" s="131"/>
      <c r="K24" s="86"/>
      <c r="L24" s="132"/>
      <c r="M24" s="133"/>
    </row>
    <row r="25" spans="1:25" ht="24" customHeight="1" x14ac:dyDescent="0.5">
      <c r="A25" s="85"/>
      <c r="B25" s="211"/>
      <c r="C25" s="211"/>
      <c r="D25" s="135"/>
      <c r="E25" s="128"/>
      <c r="F25" s="136"/>
      <c r="G25" s="128"/>
      <c r="H25" s="129"/>
      <c r="I25" s="130"/>
      <c r="J25" s="131"/>
      <c r="K25" s="86"/>
      <c r="L25" s="132"/>
      <c r="M25" s="133"/>
    </row>
    <row r="26" spans="1:25" ht="24" customHeight="1" x14ac:dyDescent="0.5">
      <c r="A26" s="85"/>
      <c r="B26" s="211"/>
      <c r="C26" s="211"/>
      <c r="D26" s="135"/>
      <c r="E26" s="128"/>
      <c r="F26" s="136"/>
      <c r="G26" s="128"/>
      <c r="H26" s="129"/>
      <c r="I26" s="130"/>
      <c r="J26" s="86"/>
      <c r="K26" s="86"/>
      <c r="L26" s="132"/>
      <c r="M26" s="133"/>
    </row>
    <row r="27" spans="1:25" ht="24" customHeight="1" x14ac:dyDescent="0.5">
      <c r="A27" s="85"/>
      <c r="B27" s="211"/>
      <c r="C27" s="211"/>
      <c r="D27" s="135"/>
      <c r="E27" s="128"/>
      <c r="F27" s="136"/>
      <c r="G27" s="128"/>
      <c r="H27" s="129"/>
      <c r="I27" s="130"/>
      <c r="J27" s="86"/>
      <c r="K27" s="86"/>
      <c r="L27" s="132"/>
      <c r="M27" s="133"/>
    </row>
    <row r="28" spans="1:25" ht="24" customHeight="1" x14ac:dyDescent="0.5">
      <c r="A28" s="85"/>
      <c r="B28" s="211"/>
      <c r="C28" s="211"/>
      <c r="D28" s="135"/>
      <c r="E28" s="128"/>
      <c r="F28" s="136"/>
      <c r="G28" s="128"/>
      <c r="H28" s="129"/>
      <c r="I28" s="130"/>
      <c r="J28" s="86"/>
      <c r="K28" s="86"/>
      <c r="L28" s="132"/>
      <c r="M28" s="133"/>
    </row>
    <row r="29" spans="1:25" ht="24" customHeight="1" x14ac:dyDescent="0.5">
      <c r="A29" s="85"/>
      <c r="B29" s="137"/>
      <c r="C29" s="138"/>
      <c r="D29" s="139"/>
      <c r="E29" s="128"/>
      <c r="F29" s="140"/>
      <c r="G29" s="128"/>
      <c r="H29" s="141"/>
      <c r="I29" s="142"/>
      <c r="J29" s="86"/>
      <c r="K29" s="86"/>
      <c r="L29" s="143"/>
      <c r="M29" s="144"/>
    </row>
    <row r="30" spans="1:25" ht="24" customHeight="1" x14ac:dyDescent="0.55000000000000004">
      <c r="A30" s="3"/>
      <c r="B30" s="60"/>
      <c r="C30" s="61"/>
      <c r="D30" s="59"/>
      <c r="E30" s="53"/>
      <c r="F30" s="54"/>
      <c r="G30" s="45"/>
      <c r="H30" s="57"/>
      <c r="I30" s="58"/>
      <c r="J30" s="3"/>
      <c r="K30" s="3"/>
      <c r="L30" s="4"/>
      <c r="M30" s="3"/>
    </row>
    <row r="31" spans="1:25" ht="24" customHeight="1" x14ac:dyDescent="0.55000000000000004">
      <c r="A31" s="3"/>
      <c r="B31" s="60"/>
      <c r="C31" s="61"/>
      <c r="D31" s="59"/>
      <c r="E31" s="53"/>
      <c r="F31" s="54"/>
      <c r="G31" s="45"/>
      <c r="H31" s="57"/>
      <c r="I31" s="58"/>
      <c r="J31" s="3"/>
      <c r="K31" s="3"/>
      <c r="L31" s="4"/>
      <c r="M31" s="3"/>
    </row>
    <row r="32" spans="1:25" ht="24" customHeight="1" x14ac:dyDescent="0.55000000000000004">
      <c r="A32" s="3"/>
      <c r="B32" s="60"/>
      <c r="C32" s="61"/>
      <c r="D32" s="59"/>
      <c r="E32" s="53"/>
      <c r="F32" s="54"/>
      <c r="G32" s="45"/>
      <c r="H32" s="57"/>
      <c r="I32" s="58"/>
      <c r="J32" s="3"/>
      <c r="K32" s="3"/>
      <c r="L32" s="4"/>
      <c r="M32" s="3"/>
    </row>
    <row r="33" spans="1:14" ht="24" customHeight="1" thickBot="1" x14ac:dyDescent="0.3">
      <c r="A33" s="213" t="str">
        <f>BAHTTEXT(M33)</f>
        <v>หนึ่งหมื่นสามพันสองร้อยสิบสี่บาทเก้าสิบแปดสตางค์</v>
      </c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5">
        <f>SUM(M16:M32)</f>
        <v>13214.98</v>
      </c>
    </row>
    <row r="34" spans="1:14" ht="16.5" customHeight="1" thickTop="1" x14ac:dyDescent="0.5">
      <c r="A34" s="6"/>
      <c r="B34" s="212"/>
      <c r="C34" s="212"/>
      <c r="D34" s="7"/>
      <c r="E34" s="7"/>
      <c r="F34" s="7"/>
      <c r="G34" s="7"/>
      <c r="H34" s="7"/>
      <c r="I34" s="7"/>
      <c r="J34" s="7"/>
      <c r="K34" s="7"/>
      <c r="L34" s="8"/>
      <c r="M34" s="9"/>
    </row>
    <row r="35" spans="1:14" ht="16.5" customHeight="1" x14ac:dyDescent="0.5">
      <c r="A35" s="6"/>
      <c r="B35" s="212"/>
      <c r="C35" s="212"/>
      <c r="D35" s="7"/>
      <c r="E35" s="7"/>
      <c r="F35" s="7"/>
      <c r="G35" s="7"/>
      <c r="H35" s="7"/>
      <c r="I35" s="7"/>
      <c r="J35" s="7"/>
      <c r="K35" s="7"/>
      <c r="L35" s="8"/>
      <c r="M35" s="9"/>
    </row>
    <row r="36" spans="1:14" ht="21.75" customHeight="1" x14ac:dyDescent="0.5">
      <c r="A36" s="174" t="s">
        <v>13</v>
      </c>
      <c r="B36" s="175"/>
      <c r="C36" s="175"/>
      <c r="D36" s="175"/>
      <c r="E36" s="14"/>
      <c r="J36" s="175" t="s">
        <v>17</v>
      </c>
      <c r="K36" s="175"/>
      <c r="L36" s="175"/>
      <c r="M36" s="176"/>
      <c r="N36" s="10"/>
    </row>
    <row r="37" spans="1:14" ht="22.5" customHeight="1" x14ac:dyDescent="0.5">
      <c r="A37" s="11" t="s">
        <v>16</v>
      </c>
      <c r="B37" s="179">
        <f>M8</f>
        <v>46202</v>
      </c>
      <c r="C37" s="179"/>
      <c r="D37" s="12"/>
      <c r="E37" s="12"/>
      <c r="F37" s="12"/>
      <c r="G37" s="12"/>
      <c r="H37" s="12"/>
      <c r="I37" s="12"/>
      <c r="J37" s="175" t="s">
        <v>14</v>
      </c>
      <c r="K37" s="175"/>
      <c r="L37" s="175"/>
      <c r="M37" s="176"/>
      <c r="N37" s="10"/>
    </row>
    <row r="38" spans="1:14" ht="20.25" customHeight="1" x14ac:dyDescent="0.5">
      <c r="A38" s="13"/>
      <c r="B38" s="177"/>
      <c r="C38" s="177"/>
      <c r="D38" s="14"/>
      <c r="E38" s="14"/>
      <c r="F38" s="12"/>
      <c r="G38" s="12"/>
      <c r="H38" s="12"/>
      <c r="I38" s="12"/>
      <c r="J38" s="14"/>
      <c r="K38" s="14"/>
      <c r="L38" s="14"/>
      <c r="M38" s="15"/>
      <c r="N38" s="10"/>
    </row>
    <row r="39" spans="1:14" ht="13.5" customHeight="1" x14ac:dyDescent="0.5">
      <c r="A39" s="11"/>
      <c r="B39" s="178"/>
      <c r="C39" s="178"/>
      <c r="M39" s="16"/>
    </row>
    <row r="40" spans="1:14" ht="23.25" x14ac:dyDescent="0.5">
      <c r="A40" s="167" t="s">
        <v>60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9"/>
    </row>
    <row r="41" spans="1:14" ht="21.75" customHeight="1" x14ac:dyDescent="0.5">
      <c r="A41" s="170" t="s">
        <v>12</v>
      </c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2"/>
    </row>
    <row r="42" spans="1:14" ht="23.25" x14ac:dyDescent="0.5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</row>
  </sheetData>
  <mergeCells count="41">
    <mergeCell ref="B16:C16"/>
    <mergeCell ref="B17:C17"/>
    <mergeCell ref="B34:C34"/>
    <mergeCell ref="B35:C35"/>
    <mergeCell ref="A33:L3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8:C18"/>
    <mergeCell ref="A1:M1"/>
    <mergeCell ref="A2:M2"/>
    <mergeCell ref="A3:M3"/>
    <mergeCell ref="A4:M4"/>
    <mergeCell ref="A5:M7"/>
    <mergeCell ref="B15:C15"/>
    <mergeCell ref="D14:D15"/>
    <mergeCell ref="G14:G15"/>
    <mergeCell ref="H14:H15"/>
    <mergeCell ref="E14:E15"/>
    <mergeCell ref="M8:M9"/>
    <mergeCell ref="A10:M10"/>
    <mergeCell ref="G8:J9"/>
    <mergeCell ref="A8:F9"/>
    <mergeCell ref="B14:C14"/>
    <mergeCell ref="C12:J12"/>
    <mergeCell ref="A40:M40"/>
    <mergeCell ref="A41:M41"/>
    <mergeCell ref="A42:M42"/>
    <mergeCell ref="A36:D36"/>
    <mergeCell ref="J36:M36"/>
    <mergeCell ref="J37:M37"/>
    <mergeCell ref="B38:C38"/>
    <mergeCell ref="B39:C39"/>
    <mergeCell ref="B37:C37"/>
  </mergeCells>
  <phoneticPr fontId="27" type="noConversion"/>
  <printOptions horizontalCentered="1" verticalCentered="1"/>
  <pageMargins left="0.25" right="0.25" top="0.75" bottom="0.75" header="0.3" footer="0.3"/>
  <pageSetup paperSize="9" scale="64" fitToHeight="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ปะหน้าขนส่ง</vt:lpstr>
      <vt:lpstr>ค่าขนส่ง</vt:lpstr>
      <vt:lpstr>ค่าขนส่ง!Print_Area</vt:lpstr>
      <vt:lpstr>ปะหน้าขนส่ง!Print_Area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2026-05-20T05:44:20Z</cp:lastPrinted>
  <dcterms:created xsi:type="dcterms:W3CDTF">2017-06-08T03:55:16Z</dcterms:created>
  <dcterms:modified xsi:type="dcterms:W3CDTF">2026-06-30T06:13:10Z</dcterms:modified>
</cp:coreProperties>
</file>