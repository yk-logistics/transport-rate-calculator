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วางบิล KTL\2026\6.2026\"/>
    </mc:Choice>
  </mc:AlternateContent>
  <xr:revisionPtr revIDLastSave="0" documentId="13_ncr:1_{0AC9624E-0955-4F4B-AD0F-854F600DB296}" xr6:coauthVersionLast="47" xr6:coauthVersionMax="47" xr10:uidLastSave="{00000000-0000-0000-0000-000000000000}"/>
  <bookViews>
    <workbookView xWindow="-120" yWindow="-120" windowWidth="21840" windowHeight="13020" tabRatio="738" activeTab="1" xr2:uid="{00000000-000D-0000-FFFF-FFFF00000000}"/>
  </bookViews>
  <sheets>
    <sheet name="ปะหน้าขนส่ง" sheetId="4" r:id="rId1"/>
    <sheet name="ค่าขนส่ง" sheetId="1" r:id="rId2"/>
    <sheet name="ค่าทดรองจ่าย" sheetId="6" r:id="rId3"/>
  </sheets>
  <calcPr calcId="191029"/>
</workbook>
</file>

<file path=xl/calcChain.xml><?xml version="1.0" encoding="utf-8"?>
<calcChain xmlns="http://schemas.openxmlformats.org/spreadsheetml/2006/main">
  <c r="B16" i="6" l="1"/>
  <c r="H16" i="6"/>
  <c r="B17" i="4"/>
  <c r="I16" i="6"/>
  <c r="G16" i="6"/>
  <c r="F16" i="6"/>
  <c r="E16" i="6"/>
  <c r="D16" i="6"/>
  <c r="K8" i="6"/>
  <c r="C13" i="6"/>
  <c r="C12" i="6"/>
  <c r="C11" i="6"/>
  <c r="J9" i="4"/>
  <c r="B12" i="4"/>
  <c r="B11" i="4"/>
  <c r="B16" i="4" l="1"/>
  <c r="G8" i="6" l="1"/>
  <c r="B18" i="4" s="1"/>
  <c r="B36" i="6"/>
  <c r="J31" i="6"/>
  <c r="I18" i="4" l="1"/>
  <c r="J18" i="4" s="1"/>
  <c r="A31" i="6"/>
  <c r="J31" i="1" l="1"/>
  <c r="I16" i="4" l="1"/>
  <c r="J16" i="4" s="1"/>
  <c r="I17" i="4"/>
  <c r="J17" i="4" s="1"/>
  <c r="J37" i="4" s="1"/>
  <c r="B36" i="1"/>
  <c r="A31" i="1" l="1"/>
  <c r="J39" i="4"/>
  <c r="C37" i="4" s="1"/>
</calcChain>
</file>

<file path=xl/sharedStrings.xml><?xml version="1.0" encoding="utf-8"?>
<sst xmlns="http://schemas.openxmlformats.org/spreadsheetml/2006/main" count="102" uniqueCount="71">
  <si>
    <t>Y.K. Logistics  Co.,ltd</t>
  </si>
  <si>
    <t xml:space="preserve">        บริษัท  วาย.เค. ลอจิสติค  จำกัด (สำนักงานใหญ่)</t>
  </si>
  <si>
    <t>ใบแจ้งหนี้ / INVOICE</t>
  </si>
  <si>
    <t>DATE</t>
  </si>
  <si>
    <t>ITEM</t>
  </si>
  <si>
    <t>TRUCK LIST</t>
  </si>
  <si>
    <t>CONT</t>
  </si>
  <si>
    <t>CUST.</t>
  </si>
  <si>
    <t>ลำดับ</t>
  </si>
  <si>
    <t>รายการบรรทุก</t>
  </si>
  <si>
    <t>วันที่บรรทุก</t>
  </si>
  <si>
    <t>AMOUNT</t>
  </si>
  <si>
    <t>จำนวนเงิน</t>
  </si>
  <si>
    <t>หมายเหตุ</t>
  </si>
  <si>
    <t>REMAKR</t>
  </si>
  <si>
    <t xml:space="preserve">      70  หมู่ 5  ตำบลเชียงรากน้อย  อำเภอบางปะอิน  จังหวัดพระนครศรีอยุธยา  13180</t>
  </si>
  <si>
    <t>ทะเบียนรถ</t>
  </si>
  <si>
    <t>TRUCK NO.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</si>
  <si>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</si>
  <si>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>ผู้วางบิล.……………………….………</t>
  </si>
  <si>
    <t xml:space="preserve">วันที่ </t>
  </si>
  <si>
    <t>วันที่</t>
  </si>
  <si>
    <t>SIZE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</si>
  <si>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</si>
  <si>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</si>
  <si>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</si>
  <si>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</si>
  <si>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</si>
  <si>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</si>
  <si>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</si>
  <si>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</si>
  <si>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</si>
  <si>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Item</t>
  </si>
  <si>
    <t>Description</t>
  </si>
  <si>
    <t>Quantity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</si>
  <si>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</si>
  <si>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</si>
  <si>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</si>
  <si>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</si>
  <si>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</si>
  <si>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</si>
  <si>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</si>
  <si>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</si>
  <si>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>ราคาต่อหน่วย</t>
  </si>
  <si>
    <t>Unit / Price</t>
  </si>
  <si>
    <t xml:space="preserve">ใบแจ้งหนี้เลขที่  </t>
  </si>
  <si>
    <t>ใบปะหน้าวางบิลค่าขนส่ง</t>
  </si>
  <si>
    <t xml:space="preserve">ADDRESS    :  </t>
  </si>
  <si>
    <t xml:space="preserve">                          </t>
  </si>
  <si>
    <t xml:space="preserve">CUSTOMER : </t>
  </si>
  <si>
    <t>ใบแจ้งหนี้ทดรองจ่าย / Advance Billing</t>
  </si>
  <si>
    <t xml:space="preserve">ใบแจ้งยอดทดรองเลขที่  </t>
  </si>
  <si>
    <t>ชื่อลูกค้า/Customer</t>
  </si>
  <si>
    <t xml:space="preserve"> </t>
  </si>
  <si>
    <t>BL.</t>
  </si>
  <si>
    <r>
      <rPr>
        <b/>
        <sz val="16"/>
        <color theme="1"/>
        <rFont val="AngsanaUPC"/>
        <family val="1"/>
        <charset val="222"/>
      </rPr>
      <t xml:space="preserve">หมายเหตุ : </t>
    </r>
    <r>
      <rPr>
        <sz val="16"/>
        <color theme="1"/>
        <rFont val="AngsanaUPC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</si>
  <si>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>บริษัท คาร์โก้ โทเทิล โลจีสติกส์ จำกัด (สำนักงานใหญ่)</t>
  </si>
  <si>
    <t>599/43 ถนนรัชดาภิเษก แขวงจตุจักร เขตจตุจักร กรุงเทพมหานคร 10900</t>
  </si>
  <si>
    <t>TAX  ID. 0-1055-50001-65-8</t>
  </si>
  <si>
    <t xml:space="preserve">          เลขประจำตัวผู้เสียภาษี 0125548009248</t>
  </si>
  <si>
    <t xml:space="preserve">ค่าขนส่ง </t>
  </si>
  <si>
    <t xml:space="preserve">           เลขประจำตัวผู้เสียภาษี 0125548009248</t>
  </si>
  <si>
    <t>Lift off,Gate Charge,Gate ChargeLCB</t>
  </si>
  <si>
    <r>
      <rPr>
        <b/>
        <sz val="14"/>
        <color theme="1"/>
        <rFont val="Angsana New"/>
        <family val="1"/>
        <charset val="222"/>
      </rPr>
      <t>Y.K. Logistics CO., LTD.</t>
    </r>
    <r>
      <rPr>
        <sz val="14"/>
        <color theme="1"/>
        <rFont val="Angsana New"/>
        <family val="1"/>
        <charset val="222"/>
      </rPr>
      <t xml:space="preserve">
บริษัท วาย.เค. ลอจิสติค จำกัด (สำนักงานใหญ่)
70 หมู่ 5 ตำบล เชียงรากน้อย อำเภอบางปะอิน จังหวัดพระนครศรีอยุธยา 13180
เลขประจำตัวผู้เสียภาษี 3031901704 ทะเบียนเลขที่ 0125548009248</t>
    </r>
  </si>
  <si>
    <t>เรทน้ำมัน = 39.97</t>
  </si>
  <si>
    <t>KLIV2606-001</t>
  </si>
  <si>
    <t>GOSUSHH32169971</t>
  </si>
  <si>
    <t>TEMU1044610</t>
  </si>
  <si>
    <t>71-6802</t>
  </si>
  <si>
    <t>THAILE</t>
  </si>
  <si>
    <t>KERRY-THAILE-ECONIC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</si>
</sst>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(* #,##0.00_);_(* \(#,##0.00\);_(* &quot;-&quot;??_);_(@_)"/>
    <numFmt numFmtId="188" formatCode="[$-1010409]d\ mmm\ yy;@"/>
  </numFmts>
  <fonts count="5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22"/>
    </font>
    <font>
      <sz val="11"/>
      <color indexed="8"/>
      <name val="Tahoma"/>
      <family val="2"/>
      <charset val="222"/>
    </font>
    <font>
      <b/>
      <sz val="20"/>
      <color theme="1"/>
      <name val="Times New Roman"/>
      <family val="1"/>
      <charset val="222"/>
    </font>
    <font>
      <sz val="16"/>
      <color theme="1"/>
      <name val="Tahoma"/>
      <family val="2"/>
      <scheme val="minor"/>
    </font>
    <font>
      <sz val="20"/>
      <color theme="1"/>
      <name val="Angsana New"/>
      <family val="1"/>
      <charset val="222"/>
    </font>
    <font>
      <sz val="14"/>
      <color theme="1"/>
      <name val="Angsana New"/>
      <family val="1"/>
    </font>
    <font>
      <b/>
      <sz val="26"/>
      <color theme="1"/>
      <name val="Angsana New"/>
      <family val="1"/>
    </font>
    <font>
      <b/>
      <sz val="22"/>
      <name val="Angsana New"/>
      <family val="1"/>
    </font>
    <font>
      <b/>
      <sz val="16"/>
      <name val="Angsana New"/>
      <family val="1"/>
    </font>
    <font>
      <b/>
      <sz val="18"/>
      <color theme="1"/>
      <name val="Angsana New"/>
      <family val="1"/>
    </font>
    <font>
      <sz val="16"/>
      <name val="Angsana New"/>
      <family val="1"/>
    </font>
    <font>
      <sz val="16"/>
      <name val="AngsanaUPC"/>
      <family val="1"/>
    </font>
    <font>
      <b/>
      <sz val="14"/>
      <color theme="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6"/>
      <name val="AngsanaUPC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8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7"/>
      <color rgb="FF000000"/>
      <name val="Arial"/>
      <family val="2"/>
    </font>
    <font>
      <sz val="7"/>
      <name val="Arial"/>
      <family val="2"/>
    </font>
    <font>
      <sz val="14"/>
      <name val="Angsana New"/>
      <family val="1"/>
    </font>
    <font>
      <sz val="18"/>
      <color rgb="FF000000"/>
      <name val="Angsana New"/>
      <family val="1"/>
    </font>
    <font>
      <sz val="8"/>
      <name val="Tahoma"/>
      <family val="2"/>
      <scheme val="minor"/>
    </font>
    <font>
      <sz val="12"/>
      <name val="Angsana New"/>
      <family val="1"/>
    </font>
    <font>
      <sz val="14"/>
      <name val="AngsanaUPC"/>
      <family val="1"/>
    </font>
    <font>
      <sz val="11"/>
      <color theme="1"/>
      <name val="Angsana New"/>
      <family val="1"/>
    </font>
    <font>
      <sz val="16"/>
      <color rgb="FF000000"/>
      <name val="Angsana New"/>
      <family val="1"/>
    </font>
    <font>
      <sz val="12"/>
      <color theme="1"/>
      <name val="Angsana New"/>
      <family val="1"/>
    </font>
    <font>
      <b/>
      <sz val="10"/>
      <name val="Browallia New"/>
      <family val="2"/>
      <charset val="222"/>
    </font>
    <font>
      <b/>
      <sz val="10"/>
      <color rgb="FF000000"/>
      <name val="Browallia New"/>
      <family val="2"/>
      <charset val="222"/>
    </font>
    <font>
      <sz val="10"/>
      <name val="Browallia New"/>
      <family val="2"/>
      <charset val="222"/>
    </font>
    <font>
      <sz val="6"/>
      <name val="Tahoma"/>
      <family val="1"/>
      <scheme val="major"/>
    </font>
    <font>
      <b/>
      <sz val="16"/>
      <color theme="1"/>
      <name val="Calibri"/>
      <family val="2"/>
    </font>
    <font>
      <sz val="10"/>
      <name val="AngsanaUPC"/>
      <family val="1"/>
      <charset val="222"/>
    </font>
    <font>
      <sz val="12"/>
      <color theme="1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sz val="20"/>
      <name val="Angsana New"/>
      <family val="1"/>
      <charset val="222"/>
    </font>
    <font>
      <b/>
      <sz val="20"/>
      <color rgb="FF000000"/>
      <name val="Angsana New"/>
      <family val="1"/>
      <charset val="222"/>
    </font>
    <font>
      <sz val="11"/>
      <name val="Angsana New"/>
      <family val="1"/>
      <charset val="222"/>
    </font>
    <font>
      <b/>
      <sz val="14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9"/>
      <name val="Angsana New"/>
      <family val="1"/>
      <charset val="222"/>
    </font>
    <font>
      <sz val="10"/>
      <name val="Angsana New"/>
      <family val="1"/>
      <charset val="222"/>
    </font>
    <font>
      <b/>
      <sz val="11"/>
      <name val="Angsana New"/>
      <family val="1"/>
      <charset val="222"/>
    </font>
    <font>
      <sz val="1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5" fillId="0" borderId="0"/>
  </cellStyleXfs>
  <cellXfs count="225">
    <xf numFmtId="0" fontId="0" fillId="0" borderId="0" xfId="0"/>
    <xf numFmtId="0" fontId="7" fillId="0" borderId="0" xfId="0" applyFont="1"/>
    <xf numFmtId="14" fontId="12" fillId="0" borderId="2" xfId="5" applyNumberFormat="1" applyFont="1" applyBorder="1" applyAlignment="1">
      <alignment horizontal="left" vertical="center"/>
    </xf>
    <xf numFmtId="14" fontId="12" fillId="0" borderId="6" xfId="5" applyNumberFormat="1" applyFont="1" applyBorder="1" applyAlignment="1">
      <alignment horizontal="left" vertical="center"/>
    </xf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4" xfId="4" applyFont="1" applyBorder="1" applyAlignment="1">
      <alignment horizontal="center"/>
    </xf>
    <xf numFmtId="14" fontId="17" fillId="0" borderId="14" xfId="0" applyNumberFormat="1" applyFont="1" applyBorder="1" applyAlignment="1">
      <alignment horizontal="center"/>
    </xf>
    <xf numFmtId="187" fontId="17" fillId="0" borderId="14" xfId="1" applyFont="1" applyBorder="1" applyAlignment="1">
      <alignment horizontal="center"/>
    </xf>
    <xf numFmtId="43" fontId="12" fillId="0" borderId="15" xfId="5" applyFont="1" applyBorder="1" applyAlignment="1">
      <alignment vertical="center"/>
    </xf>
    <xf numFmtId="0" fontId="19" fillId="0" borderId="14" xfId="4" applyFont="1" applyBorder="1"/>
    <xf numFmtId="0" fontId="19" fillId="0" borderId="9" xfId="4" applyFont="1" applyBorder="1" applyAlignment="1">
      <alignment horizontal="center" vertical="center" wrapText="1"/>
    </xf>
    <xf numFmtId="0" fontId="19" fillId="0" borderId="0" xfId="4" applyFont="1" applyAlignment="1">
      <alignment horizontal="center" vertical="center" wrapText="1"/>
    </xf>
    <xf numFmtId="43" fontId="12" fillId="0" borderId="0" xfId="5" applyFont="1" applyAlignment="1">
      <alignment vertical="center"/>
    </xf>
    <xf numFmtId="0" fontId="19" fillId="0" borderId="10" xfId="4" applyFont="1" applyBorder="1"/>
    <xf numFmtId="0" fontId="20" fillId="0" borderId="0" xfId="0" applyFont="1" applyAlignment="1">
      <alignment vertical="center"/>
    </xf>
    <xf numFmtId="0" fontId="20" fillId="0" borderId="9" xfId="0" applyFont="1" applyBorder="1"/>
    <xf numFmtId="0" fontId="20" fillId="0" borderId="0" xfId="0" applyFont="1"/>
    <xf numFmtId="0" fontId="20" fillId="0" borderId="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7" fillId="0" borderId="10" xfId="0" applyFont="1" applyBorder="1"/>
    <xf numFmtId="0" fontId="0" fillId="0" borderId="0" xfId="0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2" fillId="0" borderId="6" xfId="0" applyFont="1" applyBorder="1" applyAlignment="1">
      <alignment horizontal="center" vertical="center"/>
    </xf>
    <xf numFmtId="188" fontId="23" fillId="0" borderId="5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188" fontId="24" fillId="0" borderId="0" xfId="0" applyNumberFormat="1" applyFont="1" applyAlignment="1">
      <alignment horizontal="left"/>
    </xf>
    <xf numFmtId="0" fontId="24" fillId="0" borderId="0" xfId="0" applyFont="1"/>
    <xf numFmtId="0" fontId="25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/>
    </xf>
    <xf numFmtId="43" fontId="22" fillId="0" borderId="10" xfId="10" applyFont="1" applyBorder="1"/>
    <xf numFmtId="0" fontId="22" fillId="0" borderId="16" xfId="0" applyFont="1" applyBorder="1" applyAlignment="1">
      <alignment horizontal="center" vertical="center"/>
    </xf>
    <xf numFmtId="0" fontId="26" fillId="0" borderId="0" xfId="0" applyFont="1"/>
    <xf numFmtId="0" fontId="22" fillId="0" borderId="10" xfId="0" applyFont="1" applyBorder="1"/>
    <xf numFmtId="0" fontId="22" fillId="0" borderId="16" xfId="0" applyFont="1" applyBorder="1" applyAlignment="1">
      <alignment horizontal="center"/>
    </xf>
    <xf numFmtId="188" fontId="26" fillId="0" borderId="0" xfId="0" applyNumberFormat="1" applyFont="1" applyAlignment="1">
      <alignment horizontal="left"/>
    </xf>
    <xf numFmtId="0" fontId="22" fillId="0" borderId="5" xfId="0" applyFont="1" applyBorder="1"/>
    <xf numFmtId="0" fontId="22" fillId="0" borderId="6" xfId="0" applyFont="1" applyBorder="1"/>
    <xf numFmtId="0" fontId="22" fillId="0" borderId="7" xfId="0" applyFont="1" applyBorder="1"/>
    <xf numFmtId="0" fontId="22" fillId="0" borderId="8" xfId="0" applyFont="1" applyBorder="1"/>
    <xf numFmtId="43" fontId="22" fillId="0" borderId="8" xfId="10" applyFont="1" applyBorder="1"/>
    <xf numFmtId="0" fontId="3" fillId="0" borderId="10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7" fillId="0" borderId="0" xfId="0" applyFont="1" applyAlignment="1">
      <alignment horizontal="left"/>
    </xf>
    <xf numFmtId="1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0" fontId="29" fillId="0" borderId="14" xfId="0" applyFont="1" applyBorder="1" applyAlignment="1">
      <alignment horizontal="center" vertical="center"/>
    </xf>
    <xf numFmtId="0" fontId="15" fillId="0" borderId="9" xfId="4" applyFont="1" applyBorder="1"/>
    <xf numFmtId="0" fontId="15" fillId="0" borderId="0" xfId="4" applyFont="1"/>
    <xf numFmtId="0" fontId="15" fillId="0" borderId="10" xfId="4" applyFont="1" applyBorder="1"/>
    <xf numFmtId="0" fontId="14" fillId="0" borderId="2" xfId="4" applyFont="1" applyBorder="1"/>
    <xf numFmtId="0" fontId="14" fillId="0" borderId="3" xfId="4" applyFont="1" applyBorder="1"/>
    <xf numFmtId="0" fontId="14" fillId="0" borderId="4" xfId="4" applyFont="1" applyBorder="1"/>
    <xf numFmtId="0" fontId="22" fillId="0" borderId="3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49" fontId="18" fillId="0" borderId="14" xfId="0" quotePrefix="1" applyNumberFormat="1" applyFont="1" applyBorder="1" applyAlignment="1">
      <alignment horizontal="center" vertical="center" shrinkToFit="1"/>
    </xf>
    <xf numFmtId="188" fontId="17" fillId="0" borderId="14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28" fillId="2" borderId="4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2" fillId="2" borderId="2" xfId="0" applyFont="1" applyFill="1" applyBorder="1"/>
    <xf numFmtId="0" fontId="0" fillId="0" borderId="6" xfId="0" applyBorder="1"/>
    <xf numFmtId="0" fontId="0" fillId="0" borderId="7" xfId="0" applyBorder="1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vertical="top" wrapText="1"/>
    </xf>
    <xf numFmtId="0" fontId="16" fillId="0" borderId="1" xfId="0" applyFont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10" xfId="4" applyFont="1" applyBorder="1" applyAlignment="1">
      <alignment horizontal="right"/>
    </xf>
    <xf numFmtId="0" fontId="18" fillId="0" borderId="0" xfId="4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3" xfId="4" applyFont="1" applyBorder="1" applyAlignment="1">
      <alignment vertical="center"/>
    </xf>
    <xf numFmtId="0" fontId="34" fillId="0" borderId="14" xfId="0" applyFont="1" applyBorder="1" applyAlignment="1">
      <alignment horizontal="center"/>
    </xf>
    <xf numFmtId="187" fontId="21" fillId="0" borderId="14" xfId="1" applyFont="1" applyBorder="1" applyAlignment="1">
      <alignment horizontal="center"/>
    </xf>
    <xf numFmtId="0" fontId="35" fillId="0" borderId="14" xfId="0" quotePrefix="1" applyFont="1" applyBorder="1" applyAlignment="1">
      <alignment horizontal="center" vertical="center"/>
    </xf>
    <xf numFmtId="0" fontId="36" fillId="0" borderId="14" xfId="0" applyFont="1" applyBorder="1" applyAlignment="1">
      <alignment horizontal="center"/>
    </xf>
    <xf numFmtId="0" fontId="29" fillId="0" borderId="13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188" fontId="21" fillId="0" borderId="14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4" fontId="37" fillId="0" borderId="0" xfId="0" applyNumberFormat="1" applyFont="1" applyAlignment="1">
      <alignment horizontal="center"/>
    </xf>
    <xf numFmtId="0" fontId="39" fillId="0" borderId="0" xfId="0" applyFont="1"/>
    <xf numFmtId="0" fontId="37" fillId="0" borderId="0" xfId="0" applyFont="1"/>
    <xf numFmtId="0" fontId="39" fillId="0" borderId="0" xfId="0" applyFont="1" applyAlignment="1">
      <alignment horizontal="center"/>
    </xf>
    <xf numFmtId="0" fontId="22" fillId="0" borderId="2" xfId="0" applyFont="1" applyBorder="1" applyAlignment="1">
      <alignment vertical="center" shrinkToFit="1"/>
    </xf>
    <xf numFmtId="0" fontId="22" fillId="0" borderId="1" xfId="0" applyFont="1" applyBorder="1" applyAlignment="1">
      <alignment horizontal="center" vertical="center" shrinkToFit="1"/>
    </xf>
    <xf numFmtId="0" fontId="40" fillId="0" borderId="0" xfId="0" applyFont="1"/>
    <xf numFmtId="0" fontId="32" fillId="0" borderId="0" xfId="4" applyFont="1" applyAlignment="1">
      <alignment vertical="center"/>
    </xf>
    <xf numFmtId="0" fontId="42" fillId="2" borderId="9" xfId="0" applyFont="1" applyFill="1" applyBorder="1"/>
    <xf numFmtId="0" fontId="42" fillId="2" borderId="6" xfId="0" applyFont="1" applyFill="1" applyBorder="1"/>
    <xf numFmtId="187" fontId="21" fillId="0" borderId="14" xfId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47" fillId="0" borderId="3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43" fontId="48" fillId="0" borderId="10" xfId="10" applyFont="1" applyBorder="1" applyAlignment="1">
      <alignment horizontal="center"/>
    </xf>
    <xf numFmtId="188" fontId="52" fillId="2" borderId="10" xfId="0" applyNumberFormat="1" applyFont="1" applyFill="1" applyBorder="1" applyAlignment="1">
      <alignment horizontal="center"/>
    </xf>
    <xf numFmtId="0" fontId="51" fillId="0" borderId="2" xfId="0" applyFont="1" applyBorder="1"/>
    <xf numFmtId="0" fontId="52" fillId="0" borderId="6" xfId="0" applyFont="1" applyBorder="1"/>
    <xf numFmtId="0" fontId="52" fillId="0" borderId="7" xfId="0" applyFont="1" applyBorder="1"/>
    <xf numFmtId="0" fontId="52" fillId="0" borderId="8" xfId="0" applyFont="1" applyBorder="1"/>
    <xf numFmtId="0" fontId="48" fillId="0" borderId="11" xfId="0" applyFont="1" applyBorder="1" applyAlignment="1">
      <alignment horizontal="center"/>
    </xf>
    <xf numFmtId="0" fontId="48" fillId="0" borderId="7" xfId="0" applyFont="1" applyBorder="1"/>
    <xf numFmtId="0" fontId="48" fillId="0" borderId="11" xfId="0" applyFont="1" applyBorder="1"/>
    <xf numFmtId="0" fontId="48" fillId="0" borderId="13" xfId="0" applyFont="1" applyBorder="1"/>
    <xf numFmtId="43" fontId="48" fillId="0" borderId="13" xfId="10" applyFont="1" applyBorder="1"/>
    <xf numFmtId="0" fontId="48" fillId="0" borderId="9" xfId="0" applyFont="1" applyBorder="1"/>
    <xf numFmtId="0" fontId="48" fillId="0" borderId="0" xfId="0" applyFont="1"/>
    <xf numFmtId="0" fontId="48" fillId="0" borderId="4" xfId="0" applyFont="1" applyBorder="1"/>
    <xf numFmtId="43" fontId="48" fillId="0" borderId="10" xfId="10" applyFont="1" applyBorder="1" applyAlignment="1">
      <alignment horizontal="right"/>
    </xf>
    <xf numFmtId="0" fontId="48" fillId="0" borderId="10" xfId="0" applyFont="1" applyBorder="1"/>
    <xf numFmtId="0" fontId="48" fillId="0" borderId="6" xfId="0" applyFont="1" applyBorder="1"/>
    <xf numFmtId="0" fontId="48" fillId="0" borderId="8" xfId="0" applyFont="1" applyBorder="1"/>
    <xf numFmtId="0" fontId="48" fillId="0" borderId="3" xfId="0" applyFont="1" applyBorder="1"/>
    <xf numFmtId="0" fontId="52" fillId="0" borderId="1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2" fillId="0" borderId="3" xfId="0" applyFont="1" applyBorder="1" applyAlignment="1">
      <alignment horizontal="left"/>
    </xf>
    <xf numFmtId="0" fontId="52" fillId="0" borderId="3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43" fontId="52" fillId="0" borderId="4" xfId="10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2" fillId="0" borderId="8" xfId="0" applyFont="1" applyBorder="1" applyAlignment="1">
      <alignment horizontal="center"/>
    </xf>
    <xf numFmtId="43" fontId="52" fillId="0" borderId="8" xfId="1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3" fontId="54" fillId="0" borderId="10" xfId="10" applyFont="1" applyBorder="1"/>
    <xf numFmtId="0" fontId="50" fillId="0" borderId="2" xfId="0" applyFont="1" applyBorder="1" applyAlignment="1">
      <alignment horizontal="center" vertical="top" wrapText="1"/>
    </xf>
    <xf numFmtId="0" fontId="50" fillId="0" borderId="3" xfId="0" applyFont="1" applyBorder="1" applyAlignment="1">
      <alignment horizontal="center" vertical="top" wrapText="1"/>
    </xf>
    <xf numFmtId="0" fontId="50" fillId="0" borderId="9" xfId="0" applyFont="1" applyBorder="1" applyAlignment="1">
      <alignment horizontal="center" vertical="top" wrapText="1"/>
    </xf>
    <xf numFmtId="0" fontId="50" fillId="0" borderId="0" xfId="0" applyFont="1" applyAlignment="1">
      <alignment horizontal="center" vertical="top" wrapText="1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10" xfId="0" applyFont="1" applyBorder="1" applyAlignment="1">
      <alignment horizontal="center"/>
    </xf>
    <xf numFmtId="0" fontId="43" fillId="0" borderId="0" xfId="0" applyFont="1" applyAlignment="1">
      <alignment horizontal="left" vertical="top" wrapText="1"/>
    </xf>
    <xf numFmtId="0" fontId="53" fillId="0" borderId="7" xfId="0" applyFont="1" applyBorder="1" applyAlignment="1">
      <alignment horizontal="left" vertical="top"/>
    </xf>
    <xf numFmtId="0" fontId="53" fillId="0" borderId="8" xfId="0" applyFont="1" applyBorder="1" applyAlignment="1">
      <alignment horizontal="left" vertical="top"/>
    </xf>
    <xf numFmtId="0" fontId="41" fillId="0" borderId="9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10" xfId="0" applyFont="1" applyBorder="1" applyAlignment="1">
      <alignment horizontal="center"/>
    </xf>
    <xf numFmtId="0" fontId="46" fillId="0" borderId="3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1" fillId="0" borderId="16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7" fillId="0" borderId="1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88" fontId="12" fillId="0" borderId="4" xfId="5" applyNumberFormat="1" applyFont="1" applyBorder="1" applyAlignment="1">
      <alignment horizontal="center" vertical="center"/>
    </xf>
    <xf numFmtId="188" fontId="12" fillId="0" borderId="8" xfId="5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2" xfId="4" applyFont="1" applyBorder="1" applyAlignment="1">
      <alignment horizontal="right" vertical="center"/>
    </xf>
    <xf numFmtId="0" fontId="11" fillId="0" borderId="3" xfId="4" applyFont="1" applyBorder="1" applyAlignment="1">
      <alignment horizontal="right" vertical="center"/>
    </xf>
    <xf numFmtId="0" fontId="11" fillId="0" borderId="6" xfId="4" applyFont="1" applyBorder="1" applyAlignment="1">
      <alignment horizontal="right" vertical="center"/>
    </xf>
    <xf numFmtId="0" fontId="11" fillId="0" borderId="7" xfId="4" applyFont="1" applyBorder="1" applyAlignment="1">
      <alignment horizontal="right" vertical="center"/>
    </xf>
    <xf numFmtId="0" fontId="16" fillId="0" borderId="1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4" fillId="0" borderId="9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44" fillId="0" borderId="10" xfId="0" applyFont="1" applyBorder="1" applyAlignment="1">
      <alignment horizontal="left"/>
    </xf>
    <xf numFmtId="0" fontId="44" fillId="0" borderId="6" xfId="0" applyFont="1" applyBorder="1" applyAlignment="1">
      <alignment horizontal="left"/>
    </xf>
    <xf numFmtId="0" fontId="44" fillId="0" borderId="7" xfId="0" applyFont="1" applyBorder="1" applyAlignment="1">
      <alignment horizontal="left"/>
    </xf>
    <xf numFmtId="0" fontId="44" fillId="0" borderId="8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19" fillId="0" borderId="0" xfId="4" applyFont="1" applyAlignment="1">
      <alignment horizontal="center" vertical="center" wrapText="1"/>
    </xf>
    <xf numFmtId="0" fontId="17" fillId="0" borderId="11" xfId="0" applyFont="1" applyBorder="1"/>
    <xf numFmtId="0" fontId="17" fillId="0" borderId="13" xfId="0" applyFont="1" applyBorder="1"/>
    <xf numFmtId="0" fontId="19" fillId="0" borderId="3" xfId="4" applyFont="1" applyBorder="1" applyAlignment="1">
      <alignment horizontal="center" vertical="center" wrapText="1"/>
    </xf>
    <xf numFmtId="0" fontId="19" fillId="0" borderId="11" xfId="4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</cellXfs>
  <cellStyles count="14">
    <cellStyle name="Comma" xfId="1" builtinId="3"/>
    <cellStyle name="Comma 2" xfId="10" xr:uid="{00000000-0005-0000-0000-000001000000}"/>
    <cellStyle name="Comma 3" xfId="8" xr:uid="{00000000-0005-0000-0000-000002000000}"/>
    <cellStyle name="Comma_ใบแจ้งหนี้ในปท.04 53" xfId="5" xr:uid="{00000000-0005-0000-0000-000003000000}"/>
    <cellStyle name="Normal" xfId="0" builtinId="0"/>
    <cellStyle name="Normal 2" xfId="7" xr:uid="{00000000-0005-0000-0000-000005000000}"/>
    <cellStyle name="Normal 2 2" xfId="9" xr:uid="{00000000-0005-0000-0000-000006000000}"/>
    <cellStyle name="Normal 2 2 2 4 2 3 2 2 2" xfId="13" xr:uid="{00000000-0005-0000-0000-000007000000}"/>
    <cellStyle name="Normal 3" xfId="2" xr:uid="{00000000-0005-0000-0000-000008000000}"/>
    <cellStyle name="Normal 4" xfId="11" xr:uid="{00000000-0005-0000-0000-000009000000}"/>
    <cellStyle name="Normal 7" xfId="6" xr:uid="{00000000-0005-0000-0000-00000A000000}"/>
    <cellStyle name="Normal 9" xfId="12" xr:uid="{00000000-0005-0000-0000-00000B000000}"/>
    <cellStyle name="Normal_ใบแจ้งหนี้ในปท.04 53" xfId="4" xr:uid="{00000000-0005-0000-0000-00000C000000}"/>
    <cellStyle name="ปกติ 2" xfId="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325084</xdr:colOff>
      <xdr:row>0</xdr:row>
      <xdr:rowOff>121410</xdr:rowOff>
    </xdr:from>
    <xdr:to>
      <xdr:col>9</xdr:col>
      <xdr:colOff>472048</xdr:colOff>
      <xdr:row>4</xdr:row>
      <xdr:rowOff>80493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6D352-6294-4CF1-AD92-1BA7BD03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264" y="309227"/>
          <a:ext cx="797615" cy="743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0</xdr:row>
      <xdr:rowOff>47625</xdr:rowOff>
    </xdr:from>
    <xdr:to>
      <xdr:col>10</xdr:col>
      <xdr:colOff>771525</xdr:colOff>
      <xdr:row>3</xdr:row>
      <xdr:rowOff>104775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7962900" y="47625"/>
          <a:ext cx="1343025" cy="876300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Calibri"/>
            </a:rPr>
            <a:t>Y.K</a:t>
          </a:r>
          <a:r>
            <a:rPr lang="en-US" sz="2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0</xdr:row>
      <xdr:rowOff>47625</xdr:rowOff>
    </xdr:from>
    <xdr:to>
      <xdr:col>10</xdr:col>
      <xdr:colOff>771525</xdr:colOff>
      <xdr:row>3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A6946C-192C-445E-BBD9-D36A1C733D64}"/>
            </a:ext>
          </a:extLst>
        </xdr:cNvPr>
        <xdr:cNvSpPr>
          <a:spLocks noChangeArrowheads="1"/>
        </xdr:cNvSpPr>
      </xdr:nvSpPr>
      <xdr:spPr bwMode="auto">
        <a:xfrm>
          <a:off x="7810500" y="47625"/>
          <a:ext cx="1181100" cy="933450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Calibri"/>
            </a:rPr>
            <a:t>Y.K</a:t>
          </a:r>
          <a:r>
            <a:rPr lang="en-US" sz="2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opLeftCell="A6" zoomScale="130" zoomScaleNormal="130" workbookViewId="0">
      <selection activeCell="G26" sqref="G26"/>
    </sheetView>
  </sheetViews>
  <sheetFormatPr defaultRowHeight="14.25" x14ac:dyDescent="0.2"/>
  <cols>
    <col min="7" max="7" width="9.875" customWidth="1"/>
    <col min="9" max="9" width="9.75" customWidth="1"/>
  </cols>
  <sheetData>
    <row r="1" spans="1:11" ht="14.45" customHeight="1" x14ac:dyDescent="0.2">
      <c r="A1" s="146" t="s">
        <v>63</v>
      </c>
      <c r="B1" s="147"/>
      <c r="C1" s="147"/>
      <c r="D1" s="147"/>
      <c r="E1" s="147"/>
      <c r="F1" s="147"/>
      <c r="G1" s="147"/>
      <c r="H1" s="147"/>
      <c r="I1" s="147"/>
      <c r="J1" s="77"/>
      <c r="K1" s="50"/>
    </row>
    <row r="2" spans="1:11" x14ac:dyDescent="0.2">
      <c r="A2" s="148"/>
      <c r="B2" s="149"/>
      <c r="C2" s="149"/>
      <c r="D2" s="149"/>
      <c r="E2" s="149"/>
      <c r="F2" s="149"/>
      <c r="G2" s="149"/>
      <c r="H2" s="149"/>
      <c r="I2" s="149"/>
      <c r="J2" s="74"/>
      <c r="K2" s="50"/>
    </row>
    <row r="3" spans="1:11" x14ac:dyDescent="0.2">
      <c r="A3" s="148"/>
      <c r="B3" s="149"/>
      <c r="C3" s="149"/>
      <c r="D3" s="149"/>
      <c r="E3" s="149"/>
      <c r="F3" s="149"/>
      <c r="G3" s="149"/>
      <c r="H3" s="149"/>
      <c r="I3" s="149"/>
      <c r="J3" s="74"/>
      <c r="K3" s="50"/>
    </row>
    <row r="4" spans="1:11" ht="18" customHeight="1" x14ac:dyDescent="0.2">
      <c r="A4" s="148"/>
      <c r="B4" s="149"/>
      <c r="C4" s="149"/>
      <c r="D4" s="149"/>
      <c r="E4" s="149"/>
      <c r="F4" s="149"/>
      <c r="G4" s="149"/>
      <c r="H4" s="149"/>
      <c r="I4" s="149"/>
      <c r="J4" s="74"/>
      <c r="K4" s="50"/>
    </row>
    <row r="5" spans="1:11" ht="20.25" customHeight="1" x14ac:dyDescent="0.2">
      <c r="A5" s="148"/>
      <c r="B5" s="149"/>
      <c r="C5" s="149"/>
      <c r="D5" s="149"/>
      <c r="E5" s="149"/>
      <c r="F5" s="149"/>
      <c r="G5" s="149"/>
      <c r="H5" s="149"/>
      <c r="I5" s="149"/>
      <c r="J5" s="75"/>
      <c r="K5" s="22"/>
    </row>
    <row r="6" spans="1:11" ht="21" x14ac:dyDescent="0.35">
      <c r="A6" s="157" t="s">
        <v>46</v>
      </c>
      <c r="B6" s="158"/>
      <c r="C6" s="158"/>
      <c r="D6" s="158"/>
      <c r="E6" s="158"/>
      <c r="F6" s="158"/>
      <c r="G6" s="158"/>
      <c r="H6" s="158"/>
      <c r="I6" s="158"/>
      <c r="J6" s="159"/>
    </row>
    <row r="7" spans="1:11" x14ac:dyDescent="0.2">
      <c r="A7" s="72"/>
      <c r="B7" s="73"/>
      <c r="C7" s="73"/>
      <c r="D7" s="73"/>
      <c r="E7" s="73"/>
      <c r="F7" s="73"/>
      <c r="G7" s="73"/>
      <c r="H7" s="73"/>
      <c r="I7" s="73"/>
      <c r="J7" s="76"/>
    </row>
    <row r="8" spans="1:11" ht="15" customHeight="1" x14ac:dyDescent="0.2">
      <c r="A8" s="166" t="s">
        <v>52</v>
      </c>
      <c r="B8" s="160" t="s">
        <v>56</v>
      </c>
      <c r="C8" s="160"/>
      <c r="D8" s="160"/>
      <c r="E8" s="160"/>
      <c r="F8" s="160"/>
      <c r="G8" s="160"/>
      <c r="H8" s="161"/>
      <c r="I8" s="71"/>
      <c r="J8" s="69"/>
    </row>
    <row r="9" spans="1:11" ht="15" customHeight="1" x14ac:dyDescent="0.3">
      <c r="A9" s="167"/>
      <c r="B9" s="162"/>
      <c r="C9" s="162"/>
      <c r="D9" s="162"/>
      <c r="E9" s="162"/>
      <c r="F9" s="162"/>
      <c r="G9" s="162"/>
      <c r="H9" s="163"/>
      <c r="I9" s="105" t="s">
        <v>24</v>
      </c>
      <c r="J9" s="113">
        <f>ค่าขนส่ง!K8</f>
        <v>46179</v>
      </c>
    </row>
    <row r="10" spans="1:11" ht="15" customHeight="1" x14ac:dyDescent="0.3">
      <c r="A10" s="168"/>
      <c r="B10" s="164"/>
      <c r="C10" s="164"/>
      <c r="D10" s="164"/>
      <c r="E10" s="164"/>
      <c r="F10" s="164"/>
      <c r="G10" s="164"/>
      <c r="H10" s="165"/>
      <c r="I10" s="106" t="s">
        <v>25</v>
      </c>
      <c r="J10" s="70" t="s">
        <v>53</v>
      </c>
    </row>
    <row r="11" spans="1:11" ht="15" customHeight="1" x14ac:dyDescent="0.2">
      <c r="A11" s="166" t="s">
        <v>26</v>
      </c>
      <c r="B11" s="104" t="str">
        <f>ค่าขนส่ง!C12</f>
        <v>599/43 ถนนรัชดาภิเษก แขวงจตุจักร เขตจตุจักร กรุงเทพมหานคร 10900</v>
      </c>
      <c r="C11" s="62"/>
      <c r="D11" s="62"/>
      <c r="E11" s="62"/>
      <c r="F11" s="62"/>
      <c r="G11" s="62"/>
      <c r="H11" s="63"/>
      <c r="I11" s="103"/>
      <c r="J11" s="25"/>
    </row>
    <row r="12" spans="1:11" ht="15" customHeight="1" x14ac:dyDescent="0.2">
      <c r="A12" s="167"/>
      <c r="B12" s="35" t="str">
        <f>ค่าขนส่ง!C13</f>
        <v>TAX  ID. 0-1055-50001-65-8</v>
      </c>
      <c r="C12" s="35"/>
      <c r="D12" s="35"/>
      <c r="E12" s="35"/>
      <c r="F12" s="35"/>
      <c r="G12" s="35"/>
      <c r="H12" s="41"/>
      <c r="I12" s="101" t="s">
        <v>27</v>
      </c>
      <c r="J12" s="102" t="s">
        <v>28</v>
      </c>
    </row>
    <row r="13" spans="1:11" ht="15" customHeight="1" x14ac:dyDescent="0.2">
      <c r="A13" s="168"/>
      <c r="B13" s="27"/>
      <c r="C13" s="27"/>
      <c r="D13" s="27"/>
      <c r="E13" s="27"/>
      <c r="F13" s="27"/>
      <c r="G13" s="27"/>
      <c r="H13" s="28"/>
      <c r="I13" s="29"/>
      <c r="J13" s="30"/>
    </row>
    <row r="14" spans="1:11" ht="15" customHeight="1" x14ac:dyDescent="0.3">
      <c r="A14" s="131" t="s">
        <v>29</v>
      </c>
      <c r="B14" s="132"/>
      <c r="C14" s="133" t="s">
        <v>30</v>
      </c>
      <c r="D14" s="134"/>
      <c r="E14" s="134"/>
      <c r="F14" s="134"/>
      <c r="G14" s="135"/>
      <c r="H14" s="135" t="s">
        <v>31</v>
      </c>
      <c r="I14" s="136" t="s">
        <v>43</v>
      </c>
      <c r="J14" s="131" t="s">
        <v>12</v>
      </c>
    </row>
    <row r="15" spans="1:11" ht="15" customHeight="1" x14ac:dyDescent="0.3">
      <c r="A15" s="137" t="s">
        <v>32</v>
      </c>
      <c r="B15" s="115"/>
      <c r="C15" s="116" t="s">
        <v>33</v>
      </c>
      <c r="D15" s="116"/>
      <c r="E15" s="116"/>
      <c r="F15" s="116"/>
      <c r="G15" s="117"/>
      <c r="H15" s="138" t="s">
        <v>34</v>
      </c>
      <c r="I15" s="139" t="s">
        <v>44</v>
      </c>
      <c r="J15" s="137" t="s">
        <v>35</v>
      </c>
    </row>
    <row r="16" spans="1:11" ht="15" hidden="1" customHeight="1" x14ac:dyDescent="0.2">
      <c r="A16" s="31">
        <v>1</v>
      </c>
      <c r="B16" s="68" t="str">
        <f>ค่าขนส่ง!$G$8&amp;"  "&amp;ค่าขนส่ง!$G16&amp;"  "&amp;"ค่าขนส่ง FLEX-2296829"</f>
        <v>KLIV2606-001  THAILE  ค่าขนส่ง FLEX-2296829</v>
      </c>
      <c r="C16" s="54"/>
      <c r="D16" s="52"/>
      <c r="E16" s="53"/>
      <c r="F16" s="36"/>
      <c r="G16" s="37"/>
      <c r="H16" s="38">
        <v>1</v>
      </c>
      <c r="I16" s="38">
        <f>ค่าขนส่ง!J31</f>
        <v>6000</v>
      </c>
      <c r="J16" s="38">
        <f>I16</f>
        <v>6000</v>
      </c>
    </row>
    <row r="17" spans="1:10" ht="15" customHeight="1" x14ac:dyDescent="0.35">
      <c r="A17" s="39">
        <v>1</v>
      </c>
      <c r="B17" s="95" t="str">
        <f>ค่าขนส่ง!$G$8&amp;" "&amp;ค่าขนส่ง!$G16&amp;" "&amp;"ค่าขนส่ง BL. "&amp;ค่าขนส่ง!H16</f>
        <v>KLIV2606-001 THAILE ค่าขนส่ง BL. GOSUSHH32169971</v>
      </c>
      <c r="C17" s="95"/>
      <c r="D17" s="96"/>
      <c r="E17" s="97"/>
      <c r="F17" s="98"/>
      <c r="G17" s="41"/>
      <c r="H17" s="112">
        <v>1</v>
      </c>
      <c r="I17" s="112">
        <f>ค่าขนส่ง!J31</f>
        <v>6000</v>
      </c>
      <c r="J17" s="112">
        <f>I17</f>
        <v>6000</v>
      </c>
    </row>
    <row r="18" spans="1:10" ht="15" customHeight="1" x14ac:dyDescent="0.35">
      <c r="A18" s="39">
        <v>2</v>
      </c>
      <c r="B18" s="95" t="str">
        <f>ค่าทดรองจ่าย!$G$8&amp;" "&amp;ค่าทดรองจ่าย!$G16&amp;" "&amp;" ค่าใช้จ่าย BL. "&amp;ค่าทดรองจ่าย!H16</f>
        <v>KLIV2606-001AD THAILE  ค่าใช้จ่าย BL. GOSUSHH32169971</v>
      </c>
      <c r="C18" s="99"/>
      <c r="D18" s="96"/>
      <c r="E18" s="98"/>
      <c r="F18" s="100"/>
      <c r="G18" s="37"/>
      <c r="H18" s="112">
        <v>1</v>
      </c>
      <c r="I18" s="112">
        <f>ค่าทดรองจ่าย!J31</f>
        <v>1036.25</v>
      </c>
      <c r="J18" s="112">
        <f>I18</f>
        <v>1036.25</v>
      </c>
    </row>
    <row r="19" spans="1:10" ht="15" customHeight="1" x14ac:dyDescent="0.35">
      <c r="A19" s="39"/>
      <c r="B19" s="32"/>
      <c r="C19" s="33"/>
      <c r="D19" s="34"/>
      <c r="E19" s="35"/>
      <c r="F19" s="36"/>
      <c r="G19" s="37"/>
      <c r="H19" s="145"/>
      <c r="I19" s="145"/>
      <c r="J19" s="145"/>
    </row>
    <row r="20" spans="1:10" ht="15" customHeight="1" x14ac:dyDescent="0.2">
      <c r="A20" s="42"/>
      <c r="B20" s="32"/>
      <c r="C20" s="35"/>
      <c r="D20" s="43"/>
      <c r="E20" s="35"/>
      <c r="F20" s="35"/>
      <c r="G20" s="41"/>
      <c r="H20" s="38"/>
      <c r="I20" s="38"/>
      <c r="J20" s="38"/>
    </row>
    <row r="21" spans="1:10" ht="15" customHeight="1" x14ac:dyDescent="0.2">
      <c r="A21" s="42"/>
      <c r="B21" s="32"/>
      <c r="C21" s="35"/>
      <c r="D21" s="43"/>
      <c r="E21" s="35"/>
      <c r="F21" s="35"/>
      <c r="G21" s="41"/>
      <c r="H21" s="38"/>
      <c r="I21" s="38"/>
      <c r="J21" s="38"/>
    </row>
    <row r="22" spans="1:10" ht="15" customHeight="1" x14ac:dyDescent="0.2">
      <c r="A22" s="42"/>
      <c r="B22" s="32"/>
      <c r="C22" s="35"/>
      <c r="D22" s="43"/>
      <c r="E22" s="35"/>
      <c r="F22" s="35"/>
      <c r="G22" s="41"/>
      <c r="H22" s="38"/>
      <c r="I22" s="38"/>
      <c r="J22" s="38"/>
    </row>
    <row r="23" spans="1:10" ht="15" customHeight="1" x14ac:dyDescent="0.2">
      <c r="A23" s="42"/>
      <c r="B23" s="32"/>
      <c r="C23" s="35"/>
      <c r="D23" s="35"/>
      <c r="E23" s="35"/>
      <c r="F23" s="35"/>
      <c r="G23" s="41"/>
      <c r="H23" s="38"/>
      <c r="I23" s="38"/>
      <c r="J23" s="38"/>
    </row>
    <row r="24" spans="1:10" ht="15" customHeight="1" x14ac:dyDescent="0.2">
      <c r="A24" s="39"/>
      <c r="B24" s="32"/>
      <c r="C24" s="33"/>
      <c r="D24" s="34"/>
      <c r="E24" s="35"/>
      <c r="F24" s="36"/>
      <c r="G24" s="37"/>
      <c r="H24" s="38"/>
      <c r="I24" s="38"/>
      <c r="J24" s="38"/>
    </row>
    <row r="25" spans="1:10" ht="15" customHeight="1" x14ac:dyDescent="0.2">
      <c r="A25" s="42"/>
      <c r="B25" s="32"/>
      <c r="C25" s="35"/>
      <c r="D25" s="43"/>
      <c r="E25" s="35"/>
      <c r="F25" s="35"/>
      <c r="G25" s="41"/>
      <c r="H25" s="38"/>
      <c r="I25" s="38"/>
      <c r="J25" s="38"/>
    </row>
    <row r="26" spans="1:10" ht="15" customHeight="1" x14ac:dyDescent="0.2">
      <c r="A26" s="42"/>
      <c r="B26" s="32"/>
      <c r="C26" s="35"/>
      <c r="D26" s="43"/>
      <c r="E26" s="35"/>
      <c r="F26" s="35"/>
      <c r="G26" s="41"/>
      <c r="H26" s="38"/>
      <c r="I26" s="38"/>
      <c r="J26" s="38"/>
    </row>
    <row r="27" spans="1:10" ht="15" customHeight="1" x14ac:dyDescent="0.2">
      <c r="A27" s="42"/>
      <c r="B27" s="32"/>
      <c r="C27" s="35"/>
      <c r="D27" s="43"/>
      <c r="E27" s="35"/>
      <c r="F27" s="35"/>
      <c r="G27" s="41"/>
      <c r="H27" s="38"/>
      <c r="I27" s="38"/>
      <c r="J27" s="38"/>
    </row>
    <row r="28" spans="1:10" ht="15" customHeight="1" x14ac:dyDescent="0.2">
      <c r="A28" s="42"/>
      <c r="B28" s="32"/>
      <c r="C28" s="35"/>
      <c r="D28" s="35"/>
      <c r="E28" s="35"/>
      <c r="F28" s="35"/>
      <c r="G28" s="41"/>
      <c r="H28" s="38"/>
      <c r="I28" s="38"/>
      <c r="J28" s="38"/>
    </row>
    <row r="29" spans="1:10" ht="15" customHeight="1" x14ac:dyDescent="0.2">
      <c r="A29" s="39"/>
      <c r="B29" s="32"/>
      <c r="C29" s="33"/>
      <c r="D29" s="34"/>
      <c r="E29" s="35"/>
      <c r="F29" s="36"/>
      <c r="G29" s="37"/>
      <c r="H29" s="38"/>
      <c r="I29" s="38"/>
      <c r="J29" s="38"/>
    </row>
    <row r="30" spans="1:10" ht="15" customHeight="1" x14ac:dyDescent="0.2">
      <c r="A30" s="42"/>
      <c r="B30" s="32"/>
      <c r="C30" s="35"/>
      <c r="D30" s="43"/>
      <c r="E30" s="35"/>
      <c r="F30" s="35"/>
      <c r="G30" s="41"/>
      <c r="H30" s="38"/>
      <c r="I30" s="38"/>
      <c r="J30" s="38"/>
    </row>
    <row r="31" spans="1:10" ht="15" customHeight="1" x14ac:dyDescent="0.2">
      <c r="A31" s="42"/>
      <c r="B31" s="32"/>
      <c r="C31" s="35"/>
      <c r="D31" s="43"/>
      <c r="E31" s="35"/>
      <c r="F31" s="35"/>
      <c r="G31" s="41"/>
      <c r="H31" s="38"/>
      <c r="I31" s="38"/>
      <c r="J31" s="38"/>
    </row>
    <row r="32" spans="1:10" ht="15" customHeight="1" x14ac:dyDescent="0.2">
      <c r="A32" s="42"/>
      <c r="B32" s="32"/>
      <c r="C32" s="35"/>
      <c r="D32" s="43"/>
      <c r="E32" s="35"/>
      <c r="F32" s="35"/>
      <c r="G32" s="41"/>
      <c r="H32" s="38"/>
      <c r="I32" s="38"/>
      <c r="J32" s="38"/>
    </row>
    <row r="33" spans="1:11" ht="15" customHeight="1" x14ac:dyDescent="0.2">
      <c r="A33" s="42"/>
      <c r="B33" s="32"/>
      <c r="C33" s="35"/>
      <c r="D33" s="35"/>
      <c r="E33" s="35"/>
      <c r="F33" s="35"/>
      <c r="G33" s="41"/>
      <c r="H33" s="38"/>
      <c r="I33" s="38"/>
      <c r="J33" s="38"/>
    </row>
    <row r="34" spans="1:11" ht="15" customHeight="1" x14ac:dyDescent="0.2">
      <c r="A34" s="42"/>
      <c r="B34" s="32"/>
      <c r="C34" s="35"/>
      <c r="D34" s="35"/>
      <c r="E34" s="35"/>
      <c r="F34" s="35"/>
      <c r="G34" s="41"/>
      <c r="H34" s="38"/>
      <c r="I34" s="38"/>
      <c r="J34" s="38"/>
    </row>
    <row r="35" spans="1:11" ht="15" customHeight="1" x14ac:dyDescent="0.2">
      <c r="A35" s="39"/>
      <c r="B35" s="32"/>
      <c r="C35" s="40"/>
      <c r="D35" s="35"/>
      <c r="E35" s="35"/>
      <c r="F35" s="35"/>
      <c r="G35" s="41"/>
      <c r="H35" s="38"/>
      <c r="I35" s="38"/>
      <c r="J35" s="38"/>
    </row>
    <row r="36" spans="1:11" ht="15" customHeight="1" x14ac:dyDescent="0.2">
      <c r="A36" s="44"/>
      <c r="B36" s="45"/>
      <c r="C36" s="46"/>
      <c r="D36" s="46"/>
      <c r="E36" s="46"/>
      <c r="F36" s="46"/>
      <c r="G36" s="47"/>
      <c r="H36" s="48"/>
      <c r="I36" s="48"/>
      <c r="J36" s="38"/>
    </row>
    <row r="37" spans="1:11" ht="15" customHeight="1" x14ac:dyDescent="0.35">
      <c r="A37" s="118" t="s">
        <v>36</v>
      </c>
      <c r="B37" s="119"/>
      <c r="C37" s="155" t="str">
        <f>BAHTTEXT(J39)</f>
        <v>เจ็ดพันสามสิบหกบาทยี่สิบห้าสตางค์</v>
      </c>
      <c r="D37" s="155"/>
      <c r="E37" s="155"/>
      <c r="F37" s="155"/>
      <c r="G37" s="156"/>
      <c r="H37" s="120" t="s">
        <v>37</v>
      </c>
      <c r="I37" s="121"/>
      <c r="J37" s="122">
        <f>SUM(J17:J36)</f>
        <v>7036.25</v>
      </c>
    </row>
    <row r="38" spans="1:11" ht="15" customHeight="1" x14ac:dyDescent="0.35">
      <c r="A38" s="123"/>
      <c r="B38" s="124"/>
      <c r="C38" s="124"/>
      <c r="D38" s="124"/>
      <c r="E38" s="124"/>
      <c r="F38" s="124"/>
      <c r="G38" s="124"/>
      <c r="H38" s="114" t="s">
        <v>38</v>
      </c>
      <c r="I38" s="125"/>
      <c r="J38" s="126">
        <v>0</v>
      </c>
    </row>
    <row r="39" spans="1:11" ht="15" customHeight="1" x14ac:dyDescent="0.35">
      <c r="A39" s="123"/>
      <c r="B39" s="124"/>
      <c r="C39" s="124"/>
      <c r="D39" s="124"/>
      <c r="E39" s="124"/>
      <c r="F39" s="124"/>
      <c r="G39" s="124"/>
      <c r="H39" s="120" t="s">
        <v>39</v>
      </c>
      <c r="I39" s="121"/>
      <c r="J39" s="122">
        <f>SUM(J37:J38)</f>
        <v>7036.25</v>
      </c>
    </row>
    <row r="40" spans="1:11" ht="15" customHeight="1" x14ac:dyDescent="0.35">
      <c r="A40" s="123"/>
      <c r="B40" s="124"/>
      <c r="C40" s="124"/>
      <c r="D40" s="124"/>
      <c r="E40" s="124"/>
      <c r="F40" s="124"/>
      <c r="G40" s="124"/>
      <c r="H40" s="124"/>
      <c r="I40" s="124"/>
      <c r="J40" s="127"/>
    </row>
    <row r="41" spans="1:11" ht="15" customHeight="1" x14ac:dyDescent="0.35">
      <c r="A41" s="123"/>
      <c r="B41" s="124"/>
      <c r="C41" s="124"/>
      <c r="D41" s="124"/>
      <c r="E41" s="124"/>
      <c r="F41" s="124"/>
      <c r="G41" s="124"/>
      <c r="H41" s="124"/>
      <c r="I41" s="124"/>
      <c r="J41" s="127"/>
    </row>
    <row r="42" spans="1:11" ht="15" customHeight="1" x14ac:dyDescent="0.35">
      <c r="A42" s="128"/>
      <c r="B42" s="119"/>
      <c r="C42" s="119"/>
      <c r="D42" s="124"/>
      <c r="E42" s="119"/>
      <c r="F42" s="119"/>
      <c r="G42" s="119"/>
      <c r="H42" s="124"/>
      <c r="I42" s="119"/>
      <c r="J42" s="129"/>
    </row>
    <row r="43" spans="1:11" ht="15" customHeight="1" x14ac:dyDescent="0.35">
      <c r="A43" s="150" t="s">
        <v>40</v>
      </c>
      <c r="B43" s="151"/>
      <c r="C43" s="151"/>
      <c r="D43" s="124"/>
      <c r="E43" s="124"/>
      <c r="F43" s="130" t="s">
        <v>41</v>
      </c>
      <c r="G43" s="130"/>
      <c r="H43" s="124"/>
      <c r="I43" s="152" t="s">
        <v>42</v>
      </c>
      <c r="J43" s="153"/>
    </row>
    <row r="44" spans="1:11" ht="15" customHeight="1" x14ac:dyDescent="0.2">
      <c r="A44" s="23"/>
      <c r="B44" s="24"/>
      <c r="C44" s="24"/>
      <c r="D44" s="24"/>
      <c r="E44" s="24"/>
      <c r="F44" s="24"/>
      <c r="G44" s="24"/>
      <c r="H44" s="24"/>
      <c r="I44" s="24"/>
      <c r="J44" s="49"/>
    </row>
    <row r="45" spans="1:11" ht="15" customHeight="1" x14ac:dyDescent="0.2">
      <c r="A45" s="26"/>
      <c r="B45" s="27"/>
      <c r="C45" s="27"/>
      <c r="D45" s="27"/>
      <c r="E45" s="27"/>
      <c r="F45" s="27"/>
      <c r="G45" s="27"/>
      <c r="H45" s="27"/>
      <c r="I45" s="27"/>
      <c r="J45" s="28"/>
    </row>
    <row r="47" spans="1:11" ht="14.45" customHeight="1" x14ac:dyDescent="0.2">
      <c r="A47" s="154" t="s">
        <v>23</v>
      </c>
      <c r="B47" s="154"/>
      <c r="C47" s="154"/>
      <c r="D47" s="154"/>
      <c r="E47" s="154"/>
      <c r="F47" s="154"/>
      <c r="G47" s="154"/>
      <c r="H47" s="154"/>
      <c r="I47" s="154"/>
      <c r="J47" s="154"/>
      <c r="K47" s="51"/>
    </row>
    <row r="48" spans="1:11" x14ac:dyDescent="0.2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51"/>
    </row>
    <row r="49" spans="1:10" x14ac:dyDescent="0.2">
      <c r="A49" s="154"/>
      <c r="B49" s="154"/>
      <c r="C49" s="154"/>
      <c r="D49" s="154"/>
      <c r="E49" s="154"/>
      <c r="F49" s="154"/>
      <c r="G49" s="154"/>
      <c r="H49" s="154"/>
      <c r="I49" s="154"/>
      <c r="J49" s="154"/>
    </row>
  </sheetData>
  <mergeCells count="9">
    <mergeCell ref="A1:I5"/>
    <mergeCell ref="A43:C43"/>
    <mergeCell ref="I43:J43"/>
    <mergeCell ref="A47:J49"/>
    <mergeCell ref="C37:G37"/>
    <mergeCell ref="A6:J6"/>
    <mergeCell ref="B8:H10"/>
    <mergeCell ref="A8:A10"/>
    <mergeCell ref="A11:A13"/>
  </mergeCells>
  <printOptions horizontalCentered="1"/>
  <pageMargins left="0.23622047244094488" right="0.23622047244094488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1"/>
  <sheetViews>
    <sheetView tabSelected="1" topLeftCell="A6" zoomScale="110" zoomScaleNormal="110" workbookViewId="0">
      <selection activeCell="H18" sqref="H18"/>
    </sheetView>
  </sheetViews>
  <sheetFormatPr defaultColWidth="9" defaultRowHeight="19.5" x14ac:dyDescent="0.25"/>
  <cols>
    <col min="1" max="1" width="6.125" style="1" bestFit="1" customWidth="1"/>
    <col min="2" max="2" width="10.375" style="1" customWidth="1"/>
    <col min="3" max="3" width="12.125" style="1" customWidth="1"/>
    <col min="4" max="4" width="17.375" style="1" customWidth="1"/>
    <col min="5" max="5" width="8.125" style="1" customWidth="1"/>
    <col min="6" max="6" width="11.875" style="1" bestFit="1" customWidth="1"/>
    <col min="7" max="7" width="15.125" style="1" customWidth="1"/>
    <col min="8" max="8" width="21" style="1" customWidth="1"/>
    <col min="9" max="9" width="12.375" style="1" customWidth="1"/>
    <col min="10" max="10" width="14" style="1" customWidth="1"/>
    <col min="11" max="11" width="16.125" style="1" customWidth="1"/>
    <col min="12" max="16384" width="9" style="1"/>
  </cols>
  <sheetData>
    <row r="1" spans="1:11" ht="24.95" customHeight="1" x14ac:dyDescent="0.3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9"/>
    </row>
    <row r="2" spans="1:11" ht="24.95" customHeight="1" x14ac:dyDescent="0.6">
      <c r="A2" s="190" t="s">
        <v>1</v>
      </c>
      <c r="B2" s="191"/>
      <c r="C2" s="191"/>
      <c r="D2" s="191"/>
      <c r="E2" s="191"/>
      <c r="F2" s="191"/>
      <c r="G2" s="191"/>
      <c r="H2" s="191"/>
      <c r="I2" s="191"/>
      <c r="J2" s="191"/>
      <c r="K2" s="192"/>
    </row>
    <row r="3" spans="1:11" ht="20.100000000000001" customHeight="1" x14ac:dyDescent="0.25">
      <c r="A3" s="193" t="s">
        <v>15</v>
      </c>
      <c r="B3" s="194"/>
      <c r="C3" s="194"/>
      <c r="D3" s="194"/>
      <c r="E3" s="194"/>
      <c r="F3" s="194"/>
      <c r="G3" s="194"/>
      <c r="H3" s="194"/>
      <c r="I3" s="194"/>
      <c r="J3" s="194"/>
      <c r="K3" s="195"/>
    </row>
    <row r="4" spans="1:11" ht="20.100000000000001" customHeight="1" x14ac:dyDescent="0.45">
      <c r="A4" s="196" t="s">
        <v>59</v>
      </c>
      <c r="B4" s="197"/>
      <c r="C4" s="197"/>
      <c r="D4" s="197"/>
      <c r="E4" s="197"/>
      <c r="F4" s="197"/>
      <c r="G4" s="197"/>
      <c r="H4" s="197"/>
      <c r="I4" s="197"/>
      <c r="J4" s="197"/>
      <c r="K4" s="198"/>
    </row>
    <row r="5" spans="1:11" ht="20.100000000000001" customHeight="1" x14ac:dyDescent="0.25">
      <c r="A5" s="199" t="s">
        <v>2</v>
      </c>
      <c r="B5" s="200"/>
      <c r="C5" s="200"/>
      <c r="D5" s="200"/>
      <c r="E5" s="200"/>
      <c r="F5" s="200"/>
      <c r="G5" s="200"/>
      <c r="H5" s="200"/>
      <c r="I5" s="200"/>
      <c r="J5" s="200"/>
      <c r="K5" s="201"/>
    </row>
    <row r="6" spans="1:11" ht="24.95" customHeight="1" x14ac:dyDescent="0.25">
      <c r="A6" s="199"/>
      <c r="B6" s="200"/>
      <c r="C6" s="200"/>
      <c r="D6" s="200"/>
      <c r="E6" s="200"/>
      <c r="F6" s="200"/>
      <c r="G6" s="200"/>
      <c r="H6" s="200"/>
      <c r="I6" s="200"/>
      <c r="J6" s="200"/>
      <c r="K6" s="201"/>
    </row>
    <row r="7" spans="1:11" ht="24.95" customHeight="1" x14ac:dyDescent="0.25">
      <c r="A7" s="202"/>
      <c r="B7" s="203"/>
      <c r="C7" s="203"/>
      <c r="D7" s="203"/>
      <c r="E7" s="203"/>
      <c r="F7" s="203"/>
      <c r="G7" s="203"/>
      <c r="H7" s="203"/>
      <c r="I7" s="203"/>
      <c r="J7" s="203"/>
      <c r="K7" s="204"/>
    </row>
    <row r="8" spans="1:11" ht="21" customHeight="1" x14ac:dyDescent="0.25">
      <c r="A8" s="182" t="s">
        <v>45</v>
      </c>
      <c r="B8" s="183"/>
      <c r="C8" s="183"/>
      <c r="D8" s="183"/>
      <c r="E8" s="183"/>
      <c r="F8" s="183"/>
      <c r="G8" s="180" t="s">
        <v>65</v>
      </c>
      <c r="H8" s="180"/>
      <c r="I8" s="180"/>
      <c r="J8" s="2" t="s">
        <v>20</v>
      </c>
      <c r="K8" s="175">
        <v>46179</v>
      </c>
    </row>
    <row r="9" spans="1:11" ht="26.25" customHeight="1" x14ac:dyDescent="0.25">
      <c r="A9" s="184"/>
      <c r="B9" s="185"/>
      <c r="C9" s="185"/>
      <c r="D9" s="185"/>
      <c r="E9" s="185"/>
      <c r="F9" s="185"/>
      <c r="G9" s="181"/>
      <c r="H9" s="181"/>
      <c r="I9" s="181"/>
      <c r="J9" s="3" t="s">
        <v>3</v>
      </c>
      <c r="K9" s="176"/>
    </row>
    <row r="10" spans="1:11" ht="24.95" customHeight="1" x14ac:dyDescent="0.55000000000000004">
      <c r="A10" s="177"/>
      <c r="B10" s="178"/>
      <c r="C10" s="178"/>
      <c r="D10" s="178"/>
      <c r="E10" s="178"/>
      <c r="F10" s="178"/>
      <c r="G10" s="178"/>
      <c r="H10" s="178"/>
      <c r="I10" s="178"/>
      <c r="J10" s="178"/>
      <c r="K10" s="179"/>
    </row>
    <row r="11" spans="1:11" ht="23.25" customHeight="1" x14ac:dyDescent="0.5">
      <c r="A11" s="59" t="s">
        <v>49</v>
      </c>
      <c r="B11" s="60"/>
      <c r="C11" s="110" t="s">
        <v>56</v>
      </c>
      <c r="D11" s="60"/>
      <c r="E11" s="60"/>
      <c r="F11" s="60"/>
      <c r="G11" s="60"/>
      <c r="H11" s="60"/>
      <c r="I11" s="60"/>
      <c r="J11" s="60"/>
      <c r="K11" s="61"/>
    </row>
    <row r="12" spans="1:11" ht="20.100000000000001" customHeight="1" x14ac:dyDescent="0.5">
      <c r="A12" s="56" t="s">
        <v>47</v>
      </c>
      <c r="B12" s="57"/>
      <c r="C12" s="82" t="s">
        <v>57</v>
      </c>
      <c r="D12" s="57"/>
      <c r="E12" s="57"/>
      <c r="F12" s="57"/>
      <c r="G12" s="57"/>
      <c r="H12" s="57"/>
      <c r="I12" s="57"/>
      <c r="J12" s="57"/>
      <c r="K12" s="58"/>
    </row>
    <row r="13" spans="1:11" ht="20.100000000000001" customHeight="1" x14ac:dyDescent="0.5">
      <c r="A13" s="56" t="s">
        <v>48</v>
      </c>
      <c r="B13" s="57"/>
      <c r="C13" s="83" t="s">
        <v>58</v>
      </c>
      <c r="D13" s="57"/>
      <c r="E13" s="57"/>
      <c r="F13" s="57"/>
      <c r="G13" s="57"/>
      <c r="H13" s="57"/>
      <c r="I13" s="57"/>
      <c r="J13" s="57"/>
      <c r="K13" s="81" t="s">
        <v>64</v>
      </c>
    </row>
    <row r="14" spans="1:11" ht="21.95" customHeight="1" x14ac:dyDescent="0.45">
      <c r="A14" s="4" t="s">
        <v>8</v>
      </c>
      <c r="B14" s="186" t="s">
        <v>9</v>
      </c>
      <c r="C14" s="186"/>
      <c r="D14" s="173" t="s">
        <v>6</v>
      </c>
      <c r="E14" s="173" t="s">
        <v>22</v>
      </c>
      <c r="F14" s="4" t="s">
        <v>16</v>
      </c>
      <c r="G14" s="173" t="s">
        <v>7</v>
      </c>
      <c r="H14" s="173" t="s">
        <v>54</v>
      </c>
      <c r="I14" s="4" t="s">
        <v>10</v>
      </c>
      <c r="J14" s="4" t="s">
        <v>12</v>
      </c>
      <c r="K14" s="4" t="s">
        <v>13</v>
      </c>
    </row>
    <row r="15" spans="1:11" ht="21.95" customHeight="1" x14ac:dyDescent="0.45">
      <c r="A15" s="78" t="s">
        <v>4</v>
      </c>
      <c r="B15" s="172" t="s">
        <v>5</v>
      </c>
      <c r="C15" s="172"/>
      <c r="D15" s="174"/>
      <c r="E15" s="174"/>
      <c r="F15" s="78" t="s">
        <v>17</v>
      </c>
      <c r="G15" s="174"/>
      <c r="H15" s="174"/>
      <c r="I15" s="78" t="s">
        <v>3</v>
      </c>
      <c r="J15" s="78" t="s">
        <v>11</v>
      </c>
      <c r="K15" s="78" t="s">
        <v>14</v>
      </c>
    </row>
    <row r="16" spans="1:11" ht="24" customHeight="1" x14ac:dyDescent="0.5">
      <c r="A16" s="109">
        <v>1</v>
      </c>
      <c r="B16" s="169" t="s">
        <v>70</v>
      </c>
      <c r="C16" s="169"/>
      <c r="D16" s="92" t="s">
        <v>67</v>
      </c>
      <c r="E16" s="144">
        <v>20</v>
      </c>
      <c r="F16" s="94" t="s">
        <v>68</v>
      </c>
      <c r="G16" s="144" t="s">
        <v>69</v>
      </c>
      <c r="H16" s="87" t="s">
        <v>66</v>
      </c>
      <c r="I16" s="91">
        <v>46177</v>
      </c>
      <c r="J16" s="86">
        <v>6000</v>
      </c>
      <c r="K16" s="109" t="s">
        <v>60</v>
      </c>
    </row>
    <row r="17" spans="1:11" ht="24" customHeight="1" x14ac:dyDescent="0.5">
      <c r="A17" s="109"/>
      <c r="B17" s="169"/>
      <c r="C17" s="169"/>
      <c r="D17" s="92"/>
      <c r="E17" s="144"/>
      <c r="F17" s="94"/>
      <c r="G17" s="144"/>
      <c r="H17" s="87"/>
      <c r="I17" s="91"/>
      <c r="J17" s="86"/>
      <c r="K17" s="109"/>
    </row>
    <row r="18" spans="1:11" ht="24" customHeight="1" x14ac:dyDescent="0.55000000000000004">
      <c r="A18" s="140"/>
      <c r="B18" s="169"/>
      <c r="C18" s="169"/>
      <c r="D18" s="141"/>
      <c r="E18" s="142"/>
      <c r="F18" s="143"/>
      <c r="G18" s="144"/>
      <c r="H18" s="87"/>
      <c r="I18" s="91"/>
      <c r="J18" s="86"/>
      <c r="K18" s="109"/>
    </row>
    <row r="19" spans="1:11" ht="24" customHeight="1" x14ac:dyDescent="0.55000000000000004">
      <c r="A19" s="5"/>
      <c r="B19" s="169"/>
      <c r="C19" s="169"/>
      <c r="D19" s="92"/>
      <c r="E19" s="93"/>
      <c r="F19" s="94"/>
      <c r="G19" s="89"/>
      <c r="H19" s="87"/>
      <c r="I19" s="91"/>
      <c r="J19" s="8"/>
      <c r="K19" s="109"/>
    </row>
    <row r="20" spans="1:11" ht="24" customHeight="1" x14ac:dyDescent="0.55000000000000004">
      <c r="A20" s="5"/>
      <c r="B20" s="169"/>
      <c r="C20" s="169"/>
      <c r="D20" s="92"/>
      <c r="E20" s="93"/>
      <c r="F20" s="94"/>
      <c r="G20" s="89"/>
      <c r="H20" s="87"/>
      <c r="I20" s="91"/>
      <c r="J20" s="8"/>
      <c r="K20" s="5"/>
    </row>
    <row r="21" spans="1:11" ht="24" customHeight="1" x14ac:dyDescent="0.55000000000000004">
      <c r="A21" s="5"/>
      <c r="B21" s="169"/>
      <c r="C21" s="169"/>
      <c r="D21" s="92"/>
      <c r="E21" s="93"/>
      <c r="F21" s="94"/>
      <c r="G21" s="89"/>
      <c r="H21" s="87"/>
      <c r="I21" s="91"/>
      <c r="J21" s="8"/>
      <c r="K21" s="5"/>
    </row>
    <row r="22" spans="1:11" ht="24" customHeight="1" x14ac:dyDescent="0.55000000000000004">
      <c r="A22" s="5"/>
      <c r="B22" s="169"/>
      <c r="C22" s="169"/>
      <c r="D22" s="92"/>
      <c r="E22" s="93"/>
      <c r="F22" s="94"/>
      <c r="G22" s="89"/>
      <c r="H22" s="87"/>
      <c r="I22" s="91"/>
      <c r="J22" s="8"/>
      <c r="K22" s="5"/>
    </row>
    <row r="23" spans="1:11" ht="24" customHeight="1" x14ac:dyDescent="0.55000000000000004">
      <c r="A23" s="5"/>
      <c r="B23" s="169"/>
      <c r="C23" s="169"/>
      <c r="D23" s="92"/>
      <c r="E23" s="93"/>
      <c r="F23" s="94"/>
      <c r="G23" s="89"/>
      <c r="H23" s="87"/>
      <c r="I23" s="91"/>
      <c r="J23" s="8"/>
      <c r="K23" s="5"/>
    </row>
    <row r="24" spans="1:11" ht="24" customHeight="1" x14ac:dyDescent="0.55000000000000004">
      <c r="A24" s="5"/>
      <c r="B24" s="169"/>
      <c r="C24" s="169"/>
      <c r="D24" s="92"/>
      <c r="E24" s="93"/>
      <c r="F24" s="94"/>
      <c r="G24" s="89"/>
      <c r="H24" s="87"/>
      <c r="I24" s="91"/>
      <c r="J24" s="8"/>
      <c r="K24" s="5"/>
    </row>
    <row r="25" spans="1:11" ht="24" customHeight="1" x14ac:dyDescent="0.55000000000000004">
      <c r="A25" s="5"/>
      <c r="B25" s="169"/>
      <c r="C25" s="169"/>
      <c r="D25" s="79"/>
      <c r="E25" s="64"/>
      <c r="F25" s="65"/>
      <c r="G25" s="55"/>
      <c r="H25" s="79"/>
      <c r="I25" s="67"/>
      <c r="J25" s="8"/>
      <c r="K25" s="5"/>
    </row>
    <row r="26" spans="1:11" ht="24" customHeight="1" x14ac:dyDescent="0.55000000000000004">
      <c r="A26" s="5"/>
      <c r="B26" s="170"/>
      <c r="C26" s="171"/>
      <c r="D26" s="5"/>
      <c r="E26" s="64"/>
      <c r="F26" s="5"/>
      <c r="G26" s="55"/>
      <c r="H26" s="66"/>
      <c r="I26" s="7"/>
      <c r="J26" s="8"/>
      <c r="K26" s="5"/>
    </row>
    <row r="27" spans="1:11" ht="24" customHeight="1" x14ac:dyDescent="0.55000000000000004">
      <c r="A27" s="5"/>
      <c r="B27" s="170"/>
      <c r="C27" s="171"/>
      <c r="D27" s="5"/>
      <c r="E27" s="64"/>
      <c r="F27" s="5"/>
      <c r="G27" s="55"/>
      <c r="H27" s="66"/>
      <c r="I27" s="7"/>
      <c r="J27" s="8"/>
      <c r="K27" s="5"/>
    </row>
    <row r="28" spans="1:11" ht="24" customHeight="1" x14ac:dyDescent="0.55000000000000004">
      <c r="A28" s="5"/>
      <c r="B28" s="170"/>
      <c r="C28" s="171"/>
      <c r="D28" s="5"/>
      <c r="E28" s="64"/>
      <c r="F28" s="5"/>
      <c r="G28" s="55"/>
      <c r="H28" s="66"/>
      <c r="I28" s="7"/>
      <c r="J28" s="8"/>
      <c r="K28" s="5"/>
    </row>
    <row r="29" spans="1:11" ht="24" customHeight="1" x14ac:dyDescent="0.55000000000000004">
      <c r="A29" s="5"/>
      <c r="B29" s="170"/>
      <c r="C29" s="171"/>
      <c r="D29" s="5"/>
      <c r="E29" s="64"/>
      <c r="F29" s="5"/>
      <c r="G29" s="55"/>
      <c r="H29" s="66"/>
      <c r="I29" s="7"/>
      <c r="J29" s="8"/>
      <c r="K29" s="5"/>
    </row>
    <row r="30" spans="1:11" ht="24" customHeight="1" x14ac:dyDescent="0.55000000000000004">
      <c r="A30" s="5"/>
      <c r="B30" s="219"/>
      <c r="C30" s="220"/>
      <c r="D30" s="5"/>
      <c r="E30" s="6"/>
      <c r="F30" s="5"/>
      <c r="G30" s="55"/>
      <c r="H30" s="5"/>
      <c r="I30" s="7"/>
      <c r="J30" s="8"/>
      <c r="K30" s="5"/>
    </row>
    <row r="31" spans="1:11" ht="24" customHeight="1" thickBot="1" x14ac:dyDescent="0.55000000000000004">
      <c r="A31" s="222" t="str">
        <f>BAHTTEXT(J31)</f>
        <v>หกพันบาทถ้วน</v>
      </c>
      <c r="B31" s="223"/>
      <c r="C31" s="223"/>
      <c r="D31" s="223"/>
      <c r="E31" s="223"/>
      <c r="F31" s="223"/>
      <c r="G31" s="223"/>
      <c r="H31" s="223"/>
      <c r="I31" s="223"/>
      <c r="J31" s="9">
        <f>SUM(J16:J30)</f>
        <v>6000</v>
      </c>
      <c r="K31" s="10"/>
    </row>
    <row r="32" spans="1:11" ht="16.5" customHeight="1" thickTop="1" x14ac:dyDescent="0.5">
      <c r="A32" s="11"/>
      <c r="B32" s="221"/>
      <c r="C32" s="221"/>
      <c r="D32" s="12"/>
      <c r="E32" s="12"/>
      <c r="F32" s="12"/>
      <c r="G32" s="12"/>
      <c r="H32" s="12"/>
      <c r="I32" s="12"/>
      <c r="J32" s="13"/>
      <c r="K32" s="14"/>
    </row>
    <row r="33" spans="1:12" ht="16.5" customHeight="1" x14ac:dyDescent="0.5">
      <c r="A33" s="11"/>
      <c r="B33" s="218"/>
      <c r="C33" s="218"/>
      <c r="D33" s="12"/>
      <c r="E33" s="12"/>
      <c r="F33" s="12"/>
      <c r="G33" s="12"/>
      <c r="H33" s="12"/>
      <c r="I33" s="12"/>
      <c r="J33" s="13"/>
      <c r="K33" s="14"/>
    </row>
    <row r="34" spans="1:12" ht="16.5" customHeight="1" x14ac:dyDescent="0.5">
      <c r="A34" s="11"/>
      <c r="B34" s="218"/>
      <c r="C34" s="218"/>
      <c r="D34" s="12"/>
      <c r="E34" s="12"/>
      <c r="F34" s="12"/>
      <c r="G34" s="12"/>
      <c r="H34" s="12"/>
      <c r="I34" s="12"/>
      <c r="J34" s="13"/>
      <c r="K34" s="14"/>
    </row>
    <row r="35" spans="1:12" ht="23.45" customHeight="1" x14ac:dyDescent="0.5">
      <c r="A35" s="212" t="s">
        <v>19</v>
      </c>
      <c r="B35" s="213"/>
      <c r="C35" s="213"/>
      <c r="D35" s="213"/>
      <c r="E35" s="19"/>
      <c r="J35" s="213"/>
      <c r="K35" s="214"/>
      <c r="L35" s="15"/>
    </row>
    <row r="36" spans="1:12" ht="45.6" customHeight="1" x14ac:dyDescent="0.5">
      <c r="A36" s="16" t="s">
        <v>21</v>
      </c>
      <c r="B36" s="217">
        <f>K8</f>
        <v>46179</v>
      </c>
      <c r="C36" s="215"/>
      <c r="D36" s="17"/>
      <c r="E36" s="17"/>
      <c r="F36" s="17"/>
      <c r="G36" s="17"/>
      <c r="H36" s="17"/>
      <c r="I36" s="17"/>
      <c r="J36" s="213"/>
      <c r="K36" s="214"/>
      <c r="L36" s="15"/>
    </row>
    <row r="37" spans="1:12" ht="20.25" customHeight="1" x14ac:dyDescent="0.5">
      <c r="A37" s="18"/>
      <c r="B37" s="215"/>
      <c r="C37" s="215"/>
      <c r="D37" s="19"/>
      <c r="E37" s="19"/>
      <c r="F37" s="17"/>
      <c r="G37" s="17"/>
      <c r="H37" s="17"/>
      <c r="I37" s="17"/>
      <c r="J37" s="19"/>
      <c r="K37" s="20"/>
      <c r="L37" s="15"/>
    </row>
    <row r="38" spans="1:12" ht="13.5" customHeight="1" x14ac:dyDescent="0.5">
      <c r="A38" s="16"/>
      <c r="B38" s="216"/>
      <c r="C38" s="216"/>
      <c r="K38" s="21"/>
    </row>
    <row r="39" spans="1:12" ht="23.25" x14ac:dyDescent="0.5">
      <c r="A39" s="205" t="s">
        <v>55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7"/>
    </row>
    <row r="40" spans="1:12" ht="21.75" customHeight="1" x14ac:dyDescent="0.5">
      <c r="A40" s="208" t="s">
        <v>18</v>
      </c>
      <c r="B40" s="209"/>
      <c r="C40" s="209"/>
      <c r="D40" s="209"/>
      <c r="E40" s="209"/>
      <c r="F40" s="209"/>
      <c r="G40" s="209"/>
      <c r="H40" s="209"/>
      <c r="I40" s="209"/>
      <c r="J40" s="209"/>
      <c r="K40" s="210"/>
    </row>
    <row r="41" spans="1:12" ht="23.25" x14ac:dyDescent="0.5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</row>
  </sheetData>
  <mergeCells count="43">
    <mergeCell ref="B34:C34"/>
    <mergeCell ref="B33:C33"/>
    <mergeCell ref="B28:C28"/>
    <mergeCell ref="B29:C29"/>
    <mergeCell ref="B30:C30"/>
    <mergeCell ref="B32:C32"/>
    <mergeCell ref="A31:I31"/>
    <mergeCell ref="A39:K39"/>
    <mergeCell ref="A40:K40"/>
    <mergeCell ref="A41:K41"/>
    <mergeCell ref="A35:D35"/>
    <mergeCell ref="J35:K35"/>
    <mergeCell ref="J36:K36"/>
    <mergeCell ref="B37:C37"/>
    <mergeCell ref="B38:C38"/>
    <mergeCell ref="B36:C36"/>
    <mergeCell ref="A1:K1"/>
    <mergeCell ref="A2:K2"/>
    <mergeCell ref="A3:K3"/>
    <mergeCell ref="A4:K4"/>
    <mergeCell ref="A5:K7"/>
    <mergeCell ref="K8:K9"/>
    <mergeCell ref="A10:K10"/>
    <mergeCell ref="G8:I9"/>
    <mergeCell ref="A8:F9"/>
    <mergeCell ref="B14:C14"/>
    <mergeCell ref="B15:C15"/>
    <mergeCell ref="D14:D15"/>
    <mergeCell ref="G14:G15"/>
    <mergeCell ref="H14:H15"/>
    <mergeCell ref="E14:E15"/>
    <mergeCell ref="B25:C25"/>
    <mergeCell ref="B24:C24"/>
    <mergeCell ref="B23:C23"/>
    <mergeCell ref="B22:C22"/>
    <mergeCell ref="B27:C27"/>
    <mergeCell ref="B26:C26"/>
    <mergeCell ref="B20:C20"/>
    <mergeCell ref="B21:C21"/>
    <mergeCell ref="B16:C16"/>
    <mergeCell ref="B17:C17"/>
    <mergeCell ref="B18:C18"/>
    <mergeCell ref="B19:C19"/>
  </mergeCells>
  <phoneticPr fontId="31" type="noConversion"/>
  <printOptions horizontalCentered="1" verticalCentered="1"/>
  <pageMargins left="0.25" right="0.25" top="0.75" bottom="0.75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1"/>
  <sheetViews>
    <sheetView topLeftCell="A6" zoomScaleNormal="100" workbookViewId="0">
      <selection activeCell="J16" sqref="J16"/>
    </sheetView>
  </sheetViews>
  <sheetFormatPr defaultColWidth="9" defaultRowHeight="19.5" x14ac:dyDescent="0.25"/>
  <cols>
    <col min="1" max="1" width="6.125" style="1" bestFit="1" customWidth="1"/>
    <col min="2" max="2" width="10.375" style="1" customWidth="1"/>
    <col min="3" max="3" width="14.125" style="1" customWidth="1"/>
    <col min="4" max="4" width="15.375" style="1" customWidth="1"/>
    <col min="5" max="5" width="7.25" style="1" customWidth="1"/>
    <col min="6" max="6" width="11.125" style="1" customWidth="1"/>
    <col min="7" max="7" width="15.25" style="1" customWidth="1"/>
    <col min="8" max="8" width="19.875" style="1" customWidth="1"/>
    <col min="9" max="9" width="12.375" style="1" customWidth="1"/>
    <col min="10" max="10" width="11.125" style="1" customWidth="1"/>
    <col min="11" max="11" width="22.75" style="1" customWidth="1"/>
    <col min="12" max="16384" width="9" style="1"/>
  </cols>
  <sheetData>
    <row r="1" spans="1:11" ht="24.95" customHeight="1" x14ac:dyDescent="0.3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9"/>
    </row>
    <row r="2" spans="1:11" ht="24.95" customHeight="1" x14ac:dyDescent="0.6">
      <c r="A2" s="190" t="s">
        <v>1</v>
      </c>
      <c r="B2" s="191"/>
      <c r="C2" s="191"/>
      <c r="D2" s="191"/>
      <c r="E2" s="191"/>
      <c r="F2" s="191"/>
      <c r="G2" s="191"/>
      <c r="H2" s="191"/>
      <c r="I2" s="191"/>
      <c r="J2" s="191"/>
      <c r="K2" s="192"/>
    </row>
    <row r="3" spans="1:11" ht="20.100000000000001" customHeight="1" x14ac:dyDescent="0.25">
      <c r="A3" s="193" t="s">
        <v>15</v>
      </c>
      <c r="B3" s="194"/>
      <c r="C3" s="194"/>
      <c r="D3" s="194"/>
      <c r="E3" s="194"/>
      <c r="F3" s="194"/>
      <c r="G3" s="194"/>
      <c r="H3" s="194"/>
      <c r="I3" s="194"/>
      <c r="J3" s="194"/>
      <c r="K3" s="195"/>
    </row>
    <row r="4" spans="1:11" ht="20.100000000000001" customHeight="1" x14ac:dyDescent="0.45">
      <c r="A4" s="196" t="s">
        <v>61</v>
      </c>
      <c r="B4" s="197"/>
      <c r="C4" s="197"/>
      <c r="D4" s="197"/>
      <c r="E4" s="197"/>
      <c r="F4" s="197"/>
      <c r="G4" s="197"/>
      <c r="H4" s="197"/>
      <c r="I4" s="197"/>
      <c r="J4" s="197"/>
      <c r="K4" s="198"/>
    </row>
    <row r="5" spans="1:11" ht="20.100000000000001" customHeight="1" x14ac:dyDescent="0.25">
      <c r="A5" s="199" t="s">
        <v>50</v>
      </c>
      <c r="B5" s="200"/>
      <c r="C5" s="200"/>
      <c r="D5" s="200"/>
      <c r="E5" s="200"/>
      <c r="F5" s="200"/>
      <c r="G5" s="200"/>
      <c r="H5" s="200"/>
      <c r="I5" s="200"/>
      <c r="J5" s="200"/>
      <c r="K5" s="201"/>
    </row>
    <row r="6" spans="1:11" ht="24.95" customHeight="1" x14ac:dyDescent="0.25">
      <c r="A6" s="199"/>
      <c r="B6" s="200"/>
      <c r="C6" s="200"/>
      <c r="D6" s="200"/>
      <c r="E6" s="200"/>
      <c r="F6" s="200"/>
      <c r="G6" s="200"/>
      <c r="H6" s="200"/>
      <c r="I6" s="200"/>
      <c r="J6" s="200"/>
      <c r="K6" s="201"/>
    </row>
    <row r="7" spans="1:11" ht="24.95" customHeight="1" x14ac:dyDescent="0.25">
      <c r="A7" s="202"/>
      <c r="B7" s="203"/>
      <c r="C7" s="203"/>
      <c r="D7" s="203"/>
      <c r="E7" s="203"/>
      <c r="F7" s="203"/>
      <c r="G7" s="203"/>
      <c r="H7" s="203"/>
      <c r="I7" s="203"/>
      <c r="J7" s="203"/>
      <c r="K7" s="204"/>
    </row>
    <row r="8" spans="1:11" ht="21" customHeight="1" x14ac:dyDescent="0.25">
      <c r="A8" s="182" t="s">
        <v>51</v>
      </c>
      <c r="B8" s="183"/>
      <c r="C8" s="183"/>
      <c r="D8" s="183"/>
      <c r="E8" s="183"/>
      <c r="F8" s="183"/>
      <c r="G8" s="180" t="str">
        <f>""&amp;ค่าขนส่ง!G8&amp;"AD"</f>
        <v>KLIV2606-001AD</v>
      </c>
      <c r="H8" s="180"/>
      <c r="I8" s="180"/>
      <c r="J8" s="2" t="s">
        <v>20</v>
      </c>
      <c r="K8" s="175">
        <f>ค่าขนส่ง!K8</f>
        <v>46179</v>
      </c>
    </row>
    <row r="9" spans="1:11" ht="26.25" customHeight="1" x14ac:dyDescent="0.25">
      <c r="A9" s="184"/>
      <c r="B9" s="185"/>
      <c r="C9" s="185"/>
      <c r="D9" s="185"/>
      <c r="E9" s="185"/>
      <c r="F9" s="185"/>
      <c r="G9" s="181"/>
      <c r="H9" s="181"/>
      <c r="I9" s="181"/>
      <c r="J9" s="3" t="s">
        <v>3</v>
      </c>
      <c r="K9" s="176"/>
    </row>
    <row r="10" spans="1:11" ht="24.95" customHeight="1" x14ac:dyDescent="0.55000000000000004">
      <c r="A10" s="177"/>
      <c r="B10" s="178"/>
      <c r="C10" s="178"/>
      <c r="D10" s="178"/>
      <c r="E10" s="178"/>
      <c r="F10" s="178"/>
      <c r="G10" s="178"/>
      <c r="H10" s="178"/>
      <c r="I10" s="178"/>
      <c r="J10" s="178"/>
      <c r="K10" s="179"/>
    </row>
    <row r="11" spans="1:11" ht="31.5" x14ac:dyDescent="0.5">
      <c r="A11" s="59" t="s">
        <v>49</v>
      </c>
      <c r="B11" s="60"/>
      <c r="C11" s="84" t="str">
        <f>ค่าขนส่ง!C11</f>
        <v>บริษัท คาร์โก้ โทเทิล โลจีสติกส์ จำกัด (สำนักงานใหญ่)</v>
      </c>
      <c r="D11" s="60"/>
      <c r="E11" s="60"/>
      <c r="F11" s="60"/>
      <c r="G11" s="60"/>
      <c r="H11" s="60"/>
      <c r="I11" s="60"/>
      <c r="J11" s="60"/>
      <c r="K11" s="61"/>
    </row>
    <row r="12" spans="1:11" ht="20.100000000000001" customHeight="1" x14ac:dyDescent="0.5">
      <c r="A12" s="56" t="s">
        <v>47</v>
      </c>
      <c r="B12" s="57"/>
      <c r="C12" s="82" t="str">
        <f>ค่าขนส่ง!C12</f>
        <v>599/43 ถนนรัชดาภิเษก แขวงจตุจักร เขตจตุจักร กรุงเทพมหานคร 10900</v>
      </c>
      <c r="D12" s="57"/>
      <c r="E12" s="57"/>
      <c r="F12" s="57"/>
      <c r="G12" s="57"/>
      <c r="H12" s="57"/>
      <c r="I12" s="57"/>
      <c r="J12" s="57"/>
      <c r="K12" s="58"/>
    </row>
    <row r="13" spans="1:11" ht="20.100000000000001" customHeight="1" x14ac:dyDescent="0.5">
      <c r="A13" s="56" t="s">
        <v>48</v>
      </c>
      <c r="B13" s="57"/>
      <c r="C13" s="83" t="str">
        <f>ค่าขนส่ง!C13</f>
        <v>TAX  ID. 0-1055-50001-65-8</v>
      </c>
      <c r="D13" s="57"/>
      <c r="E13" s="57"/>
      <c r="F13" s="57"/>
      <c r="G13" s="57"/>
      <c r="H13" s="57"/>
      <c r="I13" s="57"/>
      <c r="J13" s="57"/>
      <c r="K13" s="58"/>
    </row>
    <row r="14" spans="1:11" ht="21.95" customHeight="1" x14ac:dyDescent="0.45">
      <c r="A14" s="4" t="s">
        <v>8</v>
      </c>
      <c r="B14" s="186" t="s">
        <v>9</v>
      </c>
      <c r="C14" s="186"/>
      <c r="D14" s="173" t="s">
        <v>6</v>
      </c>
      <c r="E14" s="173" t="s">
        <v>22</v>
      </c>
      <c r="F14" s="4" t="s">
        <v>16</v>
      </c>
      <c r="G14" s="173" t="s">
        <v>7</v>
      </c>
      <c r="H14" s="173" t="s">
        <v>54</v>
      </c>
      <c r="I14" s="4" t="s">
        <v>10</v>
      </c>
      <c r="J14" s="4" t="s">
        <v>12</v>
      </c>
      <c r="K14" s="4" t="s">
        <v>13</v>
      </c>
    </row>
    <row r="15" spans="1:11" ht="21.95" customHeight="1" x14ac:dyDescent="0.45">
      <c r="A15" s="4" t="s">
        <v>4</v>
      </c>
      <c r="B15" s="186" t="s">
        <v>5</v>
      </c>
      <c r="C15" s="186"/>
      <c r="D15" s="224"/>
      <c r="E15" s="224"/>
      <c r="F15" s="78" t="s">
        <v>17</v>
      </c>
      <c r="G15" s="224"/>
      <c r="H15" s="224"/>
      <c r="I15" s="4" t="s">
        <v>3</v>
      </c>
      <c r="J15" s="4" t="s">
        <v>11</v>
      </c>
      <c r="K15" s="4" t="s">
        <v>14</v>
      </c>
    </row>
    <row r="16" spans="1:11" ht="24" customHeight="1" x14ac:dyDescent="0.5">
      <c r="A16" s="109">
        <v>1</v>
      </c>
      <c r="B16" s="169" t="str">
        <f>ค่าขนส่ง!B16</f>
        <v>KERRY-THAILE-ECONIC</v>
      </c>
      <c r="C16" s="169"/>
      <c r="D16" s="92" t="str">
        <f>ค่าขนส่ง!D16</f>
        <v>TEMU1044610</v>
      </c>
      <c r="E16" s="93">
        <f>ค่าขนส่ง!E16</f>
        <v>20</v>
      </c>
      <c r="F16" s="94" t="str">
        <f>ค่าขนส่ง!F16</f>
        <v>71-6802</v>
      </c>
      <c r="G16" s="111" t="str">
        <f>ค่าขนส่ง!G16</f>
        <v>THAILE</v>
      </c>
      <c r="H16" s="87" t="str">
        <f>ค่าขนส่ง!H16</f>
        <v>GOSUSHH32169971</v>
      </c>
      <c r="I16" s="91">
        <f>ค่าขนส่ง!I16</f>
        <v>46177</v>
      </c>
      <c r="J16" s="107">
        <v>1036.25</v>
      </c>
      <c r="K16" s="108" t="s">
        <v>62</v>
      </c>
    </row>
    <row r="17" spans="1:11" ht="24" customHeight="1" x14ac:dyDescent="0.5">
      <c r="A17" s="109"/>
      <c r="B17" s="169"/>
      <c r="C17" s="169"/>
      <c r="D17" s="92"/>
      <c r="E17" s="93"/>
      <c r="F17" s="94"/>
      <c r="G17" s="111"/>
      <c r="H17" s="87"/>
      <c r="I17" s="91"/>
      <c r="J17" s="107"/>
      <c r="K17" s="108"/>
    </row>
    <row r="18" spans="1:11" ht="24" customHeight="1" x14ac:dyDescent="0.5">
      <c r="A18" s="109"/>
      <c r="B18" s="169"/>
      <c r="C18" s="169"/>
      <c r="D18" s="92"/>
      <c r="E18" s="93"/>
      <c r="F18" s="94"/>
      <c r="G18" s="111"/>
      <c r="H18" s="87"/>
      <c r="I18" s="91"/>
      <c r="J18" s="107"/>
      <c r="K18" s="108"/>
    </row>
    <row r="19" spans="1:11" ht="24" customHeight="1" x14ac:dyDescent="0.55000000000000004">
      <c r="A19" s="5"/>
      <c r="B19" s="169"/>
      <c r="C19" s="169"/>
      <c r="D19" s="92"/>
      <c r="E19" s="93"/>
      <c r="F19" s="94"/>
      <c r="G19" s="89"/>
      <c r="H19" s="87"/>
      <c r="I19" s="91"/>
      <c r="J19" s="107"/>
      <c r="K19" s="108"/>
    </row>
    <row r="20" spans="1:11" ht="24" customHeight="1" x14ac:dyDescent="0.55000000000000004">
      <c r="A20" s="5"/>
      <c r="B20" s="169"/>
      <c r="C20" s="169"/>
      <c r="D20" s="92"/>
      <c r="E20" s="93"/>
      <c r="F20" s="94"/>
      <c r="G20" s="90"/>
      <c r="H20" s="87"/>
      <c r="I20" s="91"/>
      <c r="J20" s="86"/>
      <c r="K20" s="88"/>
    </row>
    <row r="21" spans="1:11" ht="24" customHeight="1" x14ac:dyDescent="0.55000000000000004">
      <c r="A21" s="5"/>
      <c r="B21" s="169"/>
      <c r="C21" s="169"/>
      <c r="D21" s="92"/>
      <c r="E21" s="93"/>
      <c r="F21" s="94"/>
      <c r="G21" s="90"/>
      <c r="H21" s="87"/>
      <c r="I21" s="91"/>
      <c r="J21" s="86"/>
      <c r="K21" s="88"/>
    </row>
    <row r="22" spans="1:11" ht="24" customHeight="1" x14ac:dyDescent="0.55000000000000004">
      <c r="A22" s="5"/>
      <c r="B22" s="169"/>
      <c r="C22" s="169"/>
      <c r="D22" s="92"/>
      <c r="E22" s="93"/>
      <c r="F22" s="94"/>
      <c r="G22" s="90"/>
      <c r="H22" s="87"/>
      <c r="I22" s="91"/>
      <c r="J22" s="86"/>
      <c r="K22" s="88"/>
    </row>
    <row r="23" spans="1:11" ht="24" customHeight="1" x14ac:dyDescent="0.55000000000000004">
      <c r="A23" s="5"/>
      <c r="B23" s="169"/>
      <c r="C23" s="169"/>
      <c r="D23" s="92"/>
      <c r="E23" s="93"/>
      <c r="F23" s="94"/>
      <c r="G23" s="90"/>
      <c r="H23" s="87"/>
      <c r="I23" s="91"/>
      <c r="J23" s="86"/>
      <c r="K23" s="88"/>
    </row>
    <row r="24" spans="1:11" ht="24" customHeight="1" x14ac:dyDescent="0.55000000000000004">
      <c r="A24" s="5"/>
      <c r="B24" s="169"/>
      <c r="C24" s="169"/>
      <c r="D24" s="92"/>
      <c r="E24" s="93"/>
      <c r="F24" s="94"/>
      <c r="G24" s="90"/>
      <c r="H24" s="87"/>
      <c r="I24" s="91"/>
      <c r="J24" s="86"/>
      <c r="K24" s="88"/>
    </row>
    <row r="25" spans="1:11" ht="24" customHeight="1" x14ac:dyDescent="0.55000000000000004">
      <c r="A25" s="5"/>
      <c r="B25" s="169"/>
      <c r="C25" s="169"/>
      <c r="D25" s="79"/>
      <c r="E25" s="64"/>
      <c r="F25" s="65"/>
      <c r="G25" s="80"/>
      <c r="H25" s="79"/>
      <c r="I25" s="67"/>
      <c r="J25" s="8"/>
      <c r="K25" s="85"/>
    </row>
    <row r="26" spans="1:11" ht="24" customHeight="1" x14ac:dyDescent="0.55000000000000004">
      <c r="A26" s="5"/>
      <c r="B26" s="170"/>
      <c r="C26" s="171"/>
      <c r="D26" s="5"/>
      <c r="E26" s="64"/>
      <c r="F26" s="5"/>
      <c r="G26" s="55"/>
      <c r="H26" s="66"/>
      <c r="I26" s="7"/>
      <c r="J26" s="8"/>
      <c r="K26" s="5"/>
    </row>
    <row r="27" spans="1:11" ht="24" customHeight="1" x14ac:dyDescent="0.55000000000000004">
      <c r="A27" s="5"/>
      <c r="B27" s="170"/>
      <c r="C27" s="171"/>
      <c r="D27" s="5"/>
      <c r="E27" s="64"/>
      <c r="F27" s="5"/>
      <c r="G27" s="55"/>
      <c r="H27" s="66"/>
      <c r="I27" s="7"/>
      <c r="J27" s="8"/>
      <c r="K27" s="5"/>
    </row>
    <row r="28" spans="1:11" ht="24" customHeight="1" x14ac:dyDescent="0.55000000000000004">
      <c r="A28" s="5"/>
      <c r="B28" s="170"/>
      <c r="C28" s="171"/>
      <c r="D28" s="5"/>
      <c r="E28" s="64"/>
      <c r="F28" s="5"/>
      <c r="G28" s="55"/>
      <c r="H28" s="66"/>
      <c r="I28" s="7"/>
      <c r="J28" s="8"/>
      <c r="K28" s="5"/>
    </row>
    <row r="29" spans="1:11" ht="24" customHeight="1" x14ac:dyDescent="0.55000000000000004">
      <c r="A29" s="5"/>
      <c r="B29" s="170"/>
      <c r="C29" s="171"/>
      <c r="D29" s="5"/>
      <c r="E29" s="64"/>
      <c r="F29" s="5"/>
      <c r="G29" s="55"/>
      <c r="H29" s="66"/>
      <c r="I29" s="7"/>
      <c r="J29" s="8"/>
      <c r="K29" s="5"/>
    </row>
    <row r="30" spans="1:11" ht="24" customHeight="1" x14ac:dyDescent="0.55000000000000004">
      <c r="A30" s="5"/>
      <c r="B30" s="219"/>
      <c r="C30" s="220"/>
      <c r="D30" s="5"/>
      <c r="E30" s="6"/>
      <c r="F30" s="5"/>
      <c r="G30" s="55"/>
      <c r="H30" s="5"/>
      <c r="I30" s="7"/>
      <c r="J30" s="8"/>
      <c r="K30" s="5"/>
    </row>
    <row r="31" spans="1:11" ht="24" customHeight="1" thickBot="1" x14ac:dyDescent="0.55000000000000004">
      <c r="A31" s="222" t="str">
        <f>BAHTTEXT(J31)</f>
        <v>หนึ่งพันสามสิบหกบาทยี่สิบห้าสตางค์</v>
      </c>
      <c r="B31" s="223"/>
      <c r="C31" s="223"/>
      <c r="D31" s="223"/>
      <c r="E31" s="223"/>
      <c r="F31" s="223"/>
      <c r="G31" s="223"/>
      <c r="H31" s="223"/>
      <c r="I31" s="223"/>
      <c r="J31" s="9">
        <f>SUM(J16:J30)</f>
        <v>1036.25</v>
      </c>
      <c r="K31" s="10"/>
    </row>
    <row r="32" spans="1:11" ht="16.5" customHeight="1" thickTop="1" x14ac:dyDescent="0.5">
      <c r="A32" s="11"/>
      <c r="B32" s="221"/>
      <c r="C32" s="221"/>
      <c r="D32" s="12"/>
      <c r="E32" s="12"/>
      <c r="F32" s="12"/>
      <c r="G32" s="12"/>
      <c r="H32" s="12"/>
      <c r="I32" s="12"/>
      <c r="J32" s="13"/>
      <c r="K32" s="14"/>
    </row>
    <row r="33" spans="1:12" ht="16.5" customHeight="1" x14ac:dyDescent="0.5">
      <c r="A33" s="11"/>
      <c r="B33" s="218"/>
      <c r="C33" s="218"/>
      <c r="D33" s="12"/>
      <c r="E33" s="12"/>
      <c r="F33" s="12"/>
      <c r="G33" s="12"/>
      <c r="H33" s="12"/>
      <c r="I33" s="12"/>
      <c r="J33" s="13"/>
      <c r="K33" s="14"/>
    </row>
    <row r="34" spans="1:12" ht="16.5" customHeight="1" x14ac:dyDescent="0.5">
      <c r="A34" s="11"/>
      <c r="B34" s="218"/>
      <c r="C34" s="218"/>
      <c r="D34" s="12"/>
      <c r="E34" s="12"/>
      <c r="F34" s="12"/>
      <c r="G34" s="12"/>
      <c r="H34" s="12"/>
      <c r="I34" s="12"/>
      <c r="J34" s="13"/>
      <c r="K34" s="14"/>
    </row>
    <row r="35" spans="1:12" ht="23.45" customHeight="1" x14ac:dyDescent="0.5">
      <c r="A35" s="212" t="s">
        <v>19</v>
      </c>
      <c r="B35" s="213"/>
      <c r="C35" s="213"/>
      <c r="D35" s="213"/>
      <c r="E35" s="19"/>
      <c r="J35" s="213"/>
      <c r="K35" s="214"/>
      <c r="L35" s="15"/>
    </row>
    <row r="36" spans="1:12" ht="45.6" customHeight="1" x14ac:dyDescent="0.5">
      <c r="A36" s="16" t="s">
        <v>21</v>
      </c>
      <c r="B36" s="217">
        <f>K8</f>
        <v>46179</v>
      </c>
      <c r="C36" s="215"/>
      <c r="D36" s="17"/>
      <c r="E36" s="17"/>
      <c r="F36" s="17"/>
      <c r="G36" s="17"/>
      <c r="H36" s="17"/>
      <c r="I36" s="17"/>
      <c r="J36" s="213"/>
      <c r="K36" s="214"/>
      <c r="L36" s="15"/>
    </row>
    <row r="37" spans="1:12" ht="20.25" customHeight="1" x14ac:dyDescent="0.5">
      <c r="A37" s="18"/>
      <c r="B37" s="215"/>
      <c r="C37" s="215"/>
      <c r="D37" s="19"/>
      <c r="E37" s="19"/>
      <c r="F37" s="17"/>
      <c r="G37" s="17"/>
      <c r="H37" s="17"/>
      <c r="I37" s="17"/>
      <c r="J37" s="19"/>
      <c r="K37" s="20"/>
      <c r="L37" s="15"/>
    </row>
    <row r="38" spans="1:12" ht="13.5" customHeight="1" x14ac:dyDescent="0.5">
      <c r="A38" s="16"/>
      <c r="B38" s="216"/>
      <c r="C38" s="216"/>
      <c r="K38" s="21"/>
    </row>
    <row r="39" spans="1:12" ht="23.25" x14ac:dyDescent="0.5">
      <c r="A39" s="205" t="s">
        <v>55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7"/>
    </row>
    <row r="40" spans="1:12" ht="21.75" customHeight="1" x14ac:dyDescent="0.5">
      <c r="A40" s="208" t="s">
        <v>18</v>
      </c>
      <c r="B40" s="209"/>
      <c r="C40" s="209"/>
      <c r="D40" s="209"/>
      <c r="E40" s="209"/>
      <c r="F40" s="209"/>
      <c r="G40" s="209"/>
      <c r="H40" s="209"/>
      <c r="I40" s="209"/>
      <c r="J40" s="209"/>
      <c r="K40" s="210"/>
    </row>
    <row r="41" spans="1:12" ht="23.25" x14ac:dyDescent="0.5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</row>
  </sheetData>
  <mergeCells count="43">
    <mergeCell ref="A8:F9"/>
    <mergeCell ref="G8:I9"/>
    <mergeCell ref="K8:K9"/>
    <mergeCell ref="A1:K1"/>
    <mergeCell ref="A2:K2"/>
    <mergeCell ref="A3:K3"/>
    <mergeCell ref="A4:K4"/>
    <mergeCell ref="A5:K7"/>
    <mergeCell ref="B20:C20"/>
    <mergeCell ref="A10:K10"/>
    <mergeCell ref="B14:C14"/>
    <mergeCell ref="D14:D15"/>
    <mergeCell ref="E14:E15"/>
    <mergeCell ref="G14:G15"/>
    <mergeCell ref="H14:H15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I31"/>
    <mergeCell ref="B33:C33"/>
    <mergeCell ref="B34:C34"/>
    <mergeCell ref="A35:D35"/>
    <mergeCell ref="J35:K35"/>
    <mergeCell ref="B36:C36"/>
    <mergeCell ref="J36:K36"/>
    <mergeCell ref="B37:C37"/>
    <mergeCell ref="B38:C38"/>
    <mergeCell ref="A39:K39"/>
    <mergeCell ref="A40:K40"/>
    <mergeCell ref="A41:K41"/>
  </mergeCells>
  <printOptions horizontalCentered="1" verticalCentered="1"/>
  <pageMargins left="0.25" right="0.25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ปะหน้าขนส่ง</vt:lpstr>
      <vt:lpstr>ค่าขนส่ง</vt:lpstr>
      <vt:lpstr>ค่าทดรองจ่าย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2026-02-02T09:28:47Z</cp:lastPrinted>
  <dcterms:created xsi:type="dcterms:W3CDTF">2017-06-08T03:55:16Z</dcterms:created>
  <dcterms:modified xsi:type="dcterms:W3CDTF">2026-06-06T06:37:53Z</dcterms:modified>
</cp:coreProperties>
</file>