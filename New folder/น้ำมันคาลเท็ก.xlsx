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Project YK\New folder\"/>
    </mc:Choice>
  </mc:AlternateContent>
  <xr:revisionPtr revIDLastSave="0" documentId="13_ncr:1_{9E183B95-AFEC-479A-A71C-A39BB0590F71}" xr6:coauthVersionLast="47" xr6:coauthVersionMax="47" xr10:uidLastSave="{00000000-0000-0000-0000-000000000000}"/>
  <bookViews>
    <workbookView xWindow="0" yWindow="0" windowWidth="14400" windowHeight="15600" tabRatio="826" xr2:uid="{C5715E08-3657-4B02-AAA0-ABB47BEBD8FA}"/>
  </bookViews>
  <sheets>
    <sheet name="เครดิต Caltex02.26" sheetId="8" r:id="rId1"/>
    <sheet name="เครดิต Caltex01.26" sheetId="3" r:id="rId2"/>
    <sheet name="เครดิต Caltex12.25" sheetId="7" r:id="rId3"/>
  </sheets>
  <definedNames>
    <definedName name="_xlnm._FilterDatabase" localSheetId="1" hidden="1">'เครดิต Caltex01.26'!$A$2:$Z$382</definedName>
    <definedName name="_xlnm._FilterDatabase" localSheetId="0" hidden="1">'เครดิต Caltex02.26'!$A$2:$Z$220</definedName>
    <definedName name="_xlnm._FilterDatabase" localSheetId="2" hidden="1">'เครดิต Caltex12.25'!$A$2:$Z$403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" i="8" l="1"/>
  <c r="G1" i="3"/>
  <c r="F220" i="8"/>
  <c r="F219" i="8"/>
  <c r="F218" i="8"/>
  <c r="F217" i="8"/>
  <c r="F216" i="8"/>
  <c r="F215" i="8"/>
  <c r="F214" i="8"/>
  <c r="F213" i="8"/>
  <c r="F212" i="8"/>
  <c r="F211" i="8"/>
  <c r="F210" i="8"/>
  <c r="F209" i="8"/>
  <c r="F208" i="8"/>
  <c r="F207" i="8"/>
  <c r="F206" i="8"/>
  <c r="F205" i="8"/>
  <c r="F204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7" i="8"/>
  <c r="F166" i="8"/>
  <c r="F165" i="8"/>
  <c r="F164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0" i="8"/>
  <c r="F129" i="8"/>
  <c r="F128" i="8"/>
  <c r="F127" i="8"/>
  <c r="F126" i="8"/>
  <c r="F125" i="8"/>
  <c r="H124" i="8"/>
  <c r="H125" i="8" s="1"/>
  <c r="H126" i="8" s="1"/>
  <c r="H127" i="8" s="1"/>
  <c r="H128" i="8" s="1"/>
  <c r="H129" i="8" s="1"/>
  <c r="H130" i="8" s="1"/>
  <c r="H131" i="8" s="1"/>
  <c r="H132" i="8" s="1"/>
  <c r="H133" i="8" s="1"/>
  <c r="H134" i="8" s="1"/>
  <c r="H135" i="8" s="1"/>
  <c r="H136" i="8" s="1"/>
  <c r="H137" i="8" s="1"/>
  <c r="H138" i="8" s="1"/>
  <c r="H139" i="8" s="1"/>
  <c r="H140" i="8" s="1"/>
  <c r="H141" i="8" s="1"/>
  <c r="H142" i="8" s="1"/>
  <c r="H143" i="8" s="1"/>
  <c r="H144" i="8" s="1"/>
  <c r="H145" i="8" s="1"/>
  <c r="H146" i="8" s="1"/>
  <c r="H147" i="8" s="1"/>
  <c r="H148" i="8" s="1"/>
  <c r="H149" i="8" s="1"/>
  <c r="H150" i="8" s="1"/>
  <c r="H151" i="8" s="1"/>
  <c r="H152" i="8" s="1"/>
  <c r="H153" i="8" s="1"/>
  <c r="H154" i="8" s="1"/>
  <c r="H155" i="8" s="1"/>
  <c r="H156" i="8" s="1"/>
  <c r="H157" i="8" s="1"/>
  <c r="H158" i="8" s="1"/>
  <c r="H159" i="8" s="1"/>
  <c r="H160" i="8" s="1"/>
  <c r="H161" i="8" s="1"/>
  <c r="H162" i="8" s="1"/>
  <c r="H163" i="8" s="1"/>
  <c r="H164" i="8" s="1"/>
  <c r="H165" i="8" s="1"/>
  <c r="H166" i="8" s="1"/>
  <c r="H167" i="8" s="1"/>
  <c r="H168" i="8" s="1"/>
  <c r="H169" i="8" s="1"/>
  <c r="H170" i="8" s="1"/>
  <c r="H171" i="8" s="1"/>
  <c r="H172" i="8" s="1"/>
  <c r="H173" i="8" s="1"/>
  <c r="H174" i="8" s="1"/>
  <c r="H175" i="8" s="1"/>
  <c r="H176" i="8" s="1"/>
  <c r="H177" i="8" s="1"/>
  <c r="H178" i="8" s="1"/>
  <c r="H179" i="8" s="1"/>
  <c r="H180" i="8" s="1"/>
  <c r="H181" i="8" s="1"/>
  <c r="H182" i="8" s="1"/>
  <c r="H183" i="8" s="1"/>
  <c r="H184" i="8" s="1"/>
  <c r="H185" i="8" s="1"/>
  <c r="H186" i="8" s="1"/>
  <c r="H187" i="8" s="1"/>
  <c r="H188" i="8" s="1"/>
  <c r="H189" i="8" s="1"/>
  <c r="H190" i="8" s="1"/>
  <c r="H191" i="8" s="1"/>
  <c r="H192" i="8" s="1"/>
  <c r="H193" i="8" s="1"/>
  <c r="H194" i="8" s="1"/>
  <c r="H195" i="8" s="1"/>
  <c r="H196" i="8" s="1"/>
  <c r="H197" i="8" s="1"/>
  <c r="H198" i="8" s="1"/>
  <c r="H199" i="8" s="1"/>
  <c r="H200" i="8" s="1"/>
  <c r="H201" i="8" s="1"/>
  <c r="H202" i="8" s="1"/>
  <c r="H203" i="8" s="1"/>
  <c r="H204" i="8" s="1"/>
  <c r="H205" i="8" s="1"/>
  <c r="H206" i="8" s="1"/>
  <c r="H207" i="8" s="1"/>
  <c r="H208" i="8" s="1"/>
  <c r="H209" i="8" s="1"/>
  <c r="H210" i="8" s="1"/>
  <c r="H211" i="8" s="1"/>
  <c r="H212" i="8" s="1"/>
  <c r="H213" i="8" s="1"/>
  <c r="H214" i="8" s="1"/>
  <c r="H215" i="8" s="1"/>
  <c r="H216" i="8" s="1"/>
  <c r="H217" i="8" s="1"/>
  <c r="H218" i="8" s="1"/>
  <c r="H219" i="8" s="1"/>
  <c r="H220" i="8" s="1"/>
  <c r="F124" i="8"/>
</calcChain>
</file>

<file path=xl/sharedStrings.xml><?xml version="1.0" encoding="utf-8"?>
<sst xmlns="http://schemas.openxmlformats.org/spreadsheetml/2006/main" count="3108" uniqueCount="122">
  <si>
    <t>หมายเหตุ</t>
  </si>
  <si>
    <t>นายสุวิทย์ สุขล้อม</t>
  </si>
  <si>
    <t>นายนันทสิทธิ์ งามสวรรค์</t>
  </si>
  <si>
    <t>นายชยุต วิโล</t>
  </si>
  <si>
    <t>นายวันชัย พิมพยอม</t>
  </si>
  <si>
    <t>นายประจัก ทุมเชียงเข้ม</t>
  </si>
  <si>
    <t>นายสันติพงษ์ บุญจันทึก</t>
  </si>
  <si>
    <t>นายพงษ์พันธ์ ทุมเชียงเข้ม</t>
  </si>
  <si>
    <t>นายสุรศักดิ์ ปางชาติ</t>
  </si>
  <si>
    <t>นายพชร ทุมเชียงเข้ม</t>
  </si>
  <si>
    <t>นายสุรเดช สุขสำราญ</t>
  </si>
  <si>
    <t>นายพิชิต แซ่อึง</t>
  </si>
  <si>
    <t>นายณัฐวัฒน์ มาพิบูลย์</t>
  </si>
  <si>
    <t>นายชนะภัย เเช่มขุนทด</t>
  </si>
  <si>
    <t>นายวีระ เเช่มขุนทด</t>
  </si>
  <si>
    <t>นายอภิชาติ อุทาหงษ์</t>
  </si>
  <si>
    <t>นายปกรณ์ ศรีปุญเรือง</t>
  </si>
  <si>
    <t>นายเนื้อ ภาสดา</t>
  </si>
  <si>
    <t>วันที่</t>
  </si>
  <si>
    <t>นายอภิรักษ์ บริสุทธิ์</t>
  </si>
  <si>
    <t>-</t>
  </si>
  <si>
    <t>ราคา / ลิตร</t>
  </si>
  <si>
    <t>ทะเบียน</t>
  </si>
  <si>
    <t>คนขับ</t>
  </si>
  <si>
    <t>ไมล์</t>
  </si>
  <si>
    <t>เบิก(ลิตร)</t>
  </si>
  <si>
    <t>ราคา</t>
  </si>
  <si>
    <t>เครดิตคงเหลือ</t>
  </si>
  <si>
    <t>ราคาปั๊ม</t>
  </si>
  <si>
    <t>สถานะยอด</t>
  </si>
  <si>
    <t>เรท</t>
  </si>
  <si>
    <t>ยกยอด</t>
  </si>
  <si>
    <t>นายนิยม ภักดีอิ่ม</t>
  </si>
  <si>
    <t>ปั้ม</t>
  </si>
  <si>
    <t>จุกกะเฌอ [เต็งย้งทวีโชค]</t>
  </si>
  <si>
    <t>ศรีไทย [เต็กย้งเพิ่มทรัพย์]</t>
  </si>
  <si>
    <t>ปิ่นทอง1 [เต็กย้งรุ่งโรจน์]</t>
  </si>
  <si>
    <t>อมตะ [เต็กย้ง9เจริญ]</t>
  </si>
  <si>
    <t>ปิ่นทอง2 [เต็กย้งเพิ่มพูนทรัพย์]</t>
  </si>
  <si>
    <t>บษ2681</t>
  </si>
  <si>
    <t>พ่อบ้านนายพบ ทุมเชียงเข้ม</t>
  </si>
  <si>
    <t>71-8009</t>
  </si>
  <si>
    <t>71-9627</t>
  </si>
  <si>
    <t>72-0421</t>
  </si>
  <si>
    <t>71-8006</t>
  </si>
  <si>
    <t>71-6802</t>
  </si>
  <si>
    <t>71-8683</t>
  </si>
  <si>
    <t>นายรัฐภูมิ เพิ่มสุข</t>
  </si>
  <si>
    <t>72-1217</t>
  </si>
  <si>
    <t>72-1219</t>
  </si>
  <si>
    <t>72-0420</t>
  </si>
  <si>
    <t>71-6804</t>
  </si>
  <si>
    <t>72-1218</t>
  </si>
  <si>
    <t>71-6803</t>
  </si>
  <si>
    <t>71-9628</t>
  </si>
  <si>
    <t>71-8682</t>
  </si>
  <si>
    <t>71-8681</t>
  </si>
  <si>
    <t>72-1220</t>
  </si>
  <si>
    <t>71-8684</t>
  </si>
  <si>
    <t>71-9629</t>
  </si>
  <si>
    <t>72-0419</t>
  </si>
  <si>
    <t>71-8004</t>
  </si>
  <si>
    <t>นายพัฒิยะ พิริยะตระกูล</t>
  </si>
  <si>
    <t>71-8967</t>
  </si>
  <si>
    <t>พี่เอ๊ะ นายบรรเจิด คุ้มพงษ์</t>
  </si>
  <si>
    <t>รูดเพิ่ม</t>
  </si>
  <si>
    <t>สุรศักดิ์ [เต็กย้ง]</t>
  </si>
  <si>
    <t>พี่เอ๊ะ นายบรรเจิด</t>
  </si>
  <si>
    <t>สุรศักดิ์</t>
  </si>
  <si>
    <t>สุรศักดิ์ [เต็กย้งทวีทรัพย์]</t>
  </si>
  <si>
    <t>ออกไปใช้ธัญญะ</t>
  </si>
  <si>
    <t>ถ่ายไมล์ไม่เห็นเลข</t>
  </si>
  <si>
    <t>TripA. 8975.6 km.</t>
  </si>
  <si>
    <t>TripA. 8860.7 km.</t>
  </si>
  <si>
    <t>TripA. 9094.2 km.</t>
  </si>
  <si>
    <t>ยอดตรง -17,810.04฿</t>
  </si>
  <si>
    <t>ยอดตรง +37,301.96฿</t>
  </si>
  <si>
    <t>ยอดตรง +64,401.86฿</t>
  </si>
  <si>
    <t>ยอดตรง +9,043.86฿</t>
  </si>
  <si>
    <t>ยอดตรง +7,236.66฿</t>
  </si>
  <si>
    <t>ยอดตรง +33,011.86฿</t>
  </si>
  <si>
    <t>ยอดตรง +480.86฿</t>
  </si>
  <si>
    <t>TripA. 4343.8</t>
  </si>
  <si>
    <t>จำนวนน้ำมันเติม</t>
  </si>
  <si>
    <t>ลิตร</t>
  </si>
  <si>
    <t>จำนวนเงินที่เติม</t>
  </si>
  <si>
    <t>บาท</t>
  </si>
  <si>
    <t>จำนวนเงินที่รูด</t>
  </si>
  <si>
    <t>ส่วนต่าง 0.30สตางค์</t>
  </si>
  <si>
    <t>ยอดตรง +34,536.06฿</t>
  </si>
  <si>
    <t>ยอดตรง +24,154.46฿</t>
  </si>
  <si>
    <t>กิโล</t>
  </si>
  <si>
    <t>71-8007</t>
  </si>
  <si>
    <t>ใส่แกรอน</t>
  </si>
  <si>
    <t>น.ส.สุภาภรณ์ คนเพียร</t>
  </si>
  <si>
    <t>ขับแทน ผกาพรรณ</t>
  </si>
  <si>
    <t>Trip.A 9567.2km</t>
  </si>
  <si>
    <t>ยอดตรง +31,233.66฿</t>
  </si>
  <si>
    <t>ยอดตรง +24,138.76฿</t>
  </si>
  <si>
    <t>Trip.A 9936.6km</t>
  </si>
  <si>
    <t>ยอดตรง +16,248.66฿</t>
  </si>
  <si>
    <t>ยอดตรง +70,031.86฿</t>
  </si>
  <si>
    <t>ยอดตรง +37,551.16฿</t>
  </si>
  <si>
    <t>ซัสโก้</t>
  </si>
  <si>
    <t>15.12.25 มีเติมซัสโก้2000฿</t>
  </si>
  <si>
    <t>ยอดตรง +34,066.36฿</t>
  </si>
  <si>
    <t>ยอดตรง +42,467.16฿</t>
  </si>
  <si>
    <t>ยอดตรง +20,014.06฿</t>
  </si>
  <si>
    <t>ยอดตรง +16,388.96฿</t>
  </si>
  <si>
    <t>ยอดตรง +6,558.16฿</t>
  </si>
  <si>
    <t>ยอดตรง 20,721.06฿</t>
  </si>
  <si>
    <t>ยอดตรง +37,842.56฿</t>
  </si>
  <si>
    <t>ราคา(บาท)</t>
  </si>
  <si>
    <t>ราคาปั๊ม(฿/L)</t>
  </si>
  <si>
    <t>นายนิพล สีโนนม่วง</t>
  </si>
  <si>
    <t>เติม2ครั้ง</t>
  </si>
  <si>
    <t>ยอดตรง +32,230.46฿</t>
  </si>
  <si>
    <t>ยอดตรง +58,940.26฿</t>
  </si>
  <si>
    <t>ยอดตรง +39,292.46฿</t>
  </si>
  <si>
    <t>น้ำมันเบรค/ครัช 500ML</t>
  </si>
  <si>
    <t>ยอดตรง +฿</t>
  </si>
  <si>
    <t>นายสมเกียรติ นามเสรี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</si>
</sst>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10000]d/m/yy;@"/>
    <numFmt numFmtId="165" formatCode="[$-107041E]d\ mmm\ yy;@"/>
  </numFmts>
  <fonts count="9">
    <font>
      <sz val="11"/>
      <color theme="1"/>
      <name val="Calibri"/>
      <family val="2"/>
      <charset val="222"/>
      <scheme val="minor"/>
    </font>
    <font>
      <sz val="18"/>
      <color theme="1"/>
      <name val="AngsanaUPC"/>
      <family val="1"/>
    </font>
    <font>
      <sz val="18"/>
      <name val="AngsanaUPC"/>
      <family val="1"/>
    </font>
    <font>
      <sz val="18"/>
      <color theme="1"/>
      <name val="Angsana New"/>
      <family val="1"/>
      <charset val="222"/>
    </font>
    <font>
      <sz val="18"/>
      <name val="Angsana New"/>
      <family val="1"/>
      <charset val="222"/>
    </font>
    <font>
      <sz val="18"/>
      <color theme="1"/>
      <name val="AngsanaUPC"/>
      <family val="1"/>
      <charset val="222"/>
    </font>
    <font>
      <sz val="18"/>
      <color rgb="FFFF0000"/>
      <name val="Angsana New"/>
      <family val="1"/>
      <charset val="222"/>
    </font>
    <font>
      <sz val="18"/>
      <color rgb="FFFF0000"/>
      <name val="AngsanaUPC"/>
      <family val="1"/>
    </font>
    <font>
      <sz val="18"/>
      <name val="Angsana New"/>
      <family val="1"/>
    </font>
  </fonts>
  <fills count="7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3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1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" fontId="1" fillId="4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4" fontId="2" fillId="4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4" fontId="1" fillId="5" borderId="1" xfId="0" applyNumberFormat="1" applyFont="1" applyFill="1" applyBorder="1" applyAlignment="1">
      <alignment horizontal="center" vertical="center" wrapText="1"/>
    </xf>
    <xf numFmtId="4" fontId="4" fillId="4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3" fontId="3" fillId="5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4" fontId="3" fillId="6" borderId="1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center" vertical="center" wrapText="1"/>
    </xf>
    <xf numFmtId="4" fontId="6" fillId="6" borderId="1" xfId="0" applyNumberFormat="1" applyFont="1" applyFill="1" applyBorder="1" applyAlignment="1">
      <alignment horizontal="center" vertical="center" wrapText="1"/>
    </xf>
    <xf numFmtId="4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4" fontId="4" fillId="6" borderId="1" xfId="0" applyNumberFormat="1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" fontId="1" fillId="4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4" fontId="1" fillId="6" borderId="1" xfId="0" applyNumberFormat="1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center" vertical="center" wrapText="1"/>
    </xf>
    <xf numFmtId="4" fontId="7" fillId="2" borderId="1" xfId="0" applyNumberFormat="1" applyFont="1" applyFill="1" applyBorder="1" applyAlignment="1">
      <alignment horizontal="center" vertical="center" wrapText="1"/>
    </xf>
    <xf numFmtId="4" fontId="7" fillId="6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4" fontId="7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4" fontId="3" fillId="4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4" fontId="1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33"/>
      <color rgb="FFFD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06FE8-A511-4F9E-92D0-C4144CE174CE}">
  <sheetPr filterMode="1">
    <tabColor rgb="FFFFFF00"/>
  </sheetPr>
  <dimension ref="A1:M220"/>
  <sheetViews>
    <sheetView tabSelected="1" zoomScale="80" zoomScaleNormal="80" workbookViewId="0">
      <pane xSplit="1" ySplit="2" topLeftCell="B68" activePane="bottomRight" state="frozen"/>
      <selection pane="topRight" activeCell="B1" sqref="B1"/>
      <selection pane="bottomLeft" activeCell="A3" sqref="A3"/>
      <selection pane="bottomRight" activeCell="C86" sqref="C86"/>
    </sheetView>
  </sheetViews>
  <sheetFormatPr defaultColWidth="35.7109375" defaultRowHeight="24" customHeight="1"/>
  <cols>
    <col min="1" max="1" width="11.140625" style="21" customWidth="1"/>
    <col min="2" max="2" width="9.5703125" style="22" customWidth="1"/>
    <col min="3" max="3" width="24.140625" style="22" customWidth="1"/>
    <col min="4" max="4" width="11.140625" style="22" customWidth="1"/>
    <col min="5" max="5" width="11.42578125" style="30" customWidth="1"/>
    <col min="6" max="6" width="8.42578125" style="24" customWidth="1"/>
    <col min="7" max="7" width="12.140625" style="24" bestFit="1" customWidth="1"/>
    <col min="8" max="8" width="12.42578125" style="16" customWidth="1"/>
    <col min="9" max="9" width="8.140625" style="24" customWidth="1"/>
    <col min="10" max="11" width="20.42578125" style="22" customWidth="1"/>
    <col min="12" max="12" width="16.85546875" style="22" customWidth="1"/>
    <col min="13" max="16384" width="35.7109375" style="22"/>
  </cols>
  <sheetData>
    <row r="1" spans="1:13" s="25" customFormat="1" ht="27" customHeight="1">
      <c r="A1" s="66"/>
      <c r="B1" s="67"/>
      <c r="C1" s="67"/>
      <c r="D1" s="67"/>
      <c r="E1" s="68"/>
      <c r="F1" s="16"/>
      <c r="G1" s="11">
        <f>SUBTOTAL(109,G3:G999)</f>
        <v>341314.60000000003</v>
      </c>
      <c r="H1" s="16"/>
      <c r="I1" s="16"/>
      <c r="J1" s="67"/>
      <c r="K1" s="67"/>
      <c r="L1" s="67"/>
      <c r="M1" s="69"/>
    </row>
    <row r="2" spans="1:13" ht="24" customHeight="1">
      <c r="A2" s="70" t="s">
        <v>18</v>
      </c>
      <c r="B2" s="71" t="s">
        <v>22</v>
      </c>
      <c r="C2" s="71" t="s">
        <v>23</v>
      </c>
      <c r="D2" s="71" t="s">
        <v>33</v>
      </c>
      <c r="E2" s="72" t="s">
        <v>24</v>
      </c>
      <c r="F2" s="73" t="s">
        <v>25</v>
      </c>
      <c r="G2" s="73" t="s">
        <v>112</v>
      </c>
      <c r="H2" s="16" t="s">
        <v>27</v>
      </c>
      <c r="I2" s="73" t="s">
        <v>113</v>
      </c>
      <c r="J2" s="71" t="s">
        <v>29</v>
      </c>
      <c r="K2" s="71" t="s">
        <v>0</v>
      </c>
      <c r="L2" s="71" t="s">
        <v>30</v>
      </c>
      <c r="M2" s="74"/>
    </row>
    <row r="3" spans="1:13" s="5" customFormat="1" ht="24" customHeight="1" thickBot="1">
      <c r="A3" s="1" t="s">
        <v>20</v>
      </c>
      <c r="B3" s="2" t="s">
        <v>20</v>
      </c>
      <c r="C3" s="2" t="s">
        <v>20</v>
      </c>
      <c r="D3" s="2"/>
      <c r="E3" s="3" t="s">
        <v>31</v>
      </c>
      <c r="F3" s="3" t="s">
        <v>20</v>
      </c>
      <c r="G3" s="3" t="s">
        <v>20</v>
      </c>
      <c r="H3" s="16">
        <v>24154.460000000006</v>
      </c>
      <c r="I3" s="3" t="s">
        <v>20</v>
      </c>
      <c r="J3" s="2"/>
      <c r="K3" s="2"/>
      <c r="L3" s="2"/>
      <c r="M3" s="2"/>
    </row>
    <row r="4" spans="1:13" ht="24" customHeight="1" thickBot="1">
      <c r="A4" s="21">
        <v>46054</v>
      </c>
      <c r="B4" s="25" t="s">
        <v>48</v>
      </c>
      <c r="C4" s="25" t="s">
        <v>17</v>
      </c>
      <c r="D4" s="22" t="s">
        <v>34</v>
      </c>
      <c r="E4" s="23">
        <v>160003</v>
      </c>
      <c r="F4" s="20">
        <v>50</v>
      </c>
      <c r="G4" s="31">
        <v>1498</v>
      </c>
      <c r="H4" s="16">
        <v>22656.460000000006</v>
      </c>
      <c r="I4" s="20">
        <v>29.96</v>
      </c>
      <c r="J4" s="18"/>
      <c r="K4" s="18"/>
      <c r="L4" s="18"/>
      <c r="M4" s="32"/>
    </row>
    <row r="5" spans="1:13" ht="24" customHeight="1" thickBot="1">
      <c r="A5" s="21">
        <v>46054</v>
      </c>
      <c r="B5" s="22" t="s">
        <v>63</v>
      </c>
      <c r="C5" s="22" t="s">
        <v>12</v>
      </c>
      <c r="D5" s="22" t="s">
        <v>35</v>
      </c>
      <c r="E5" s="23">
        <v>252952</v>
      </c>
      <c r="F5" s="20">
        <v>115</v>
      </c>
      <c r="G5" s="31">
        <v>3445.4</v>
      </c>
      <c r="H5" s="16">
        <v>19211.060000000005</v>
      </c>
      <c r="I5" s="20">
        <v>29.96</v>
      </c>
      <c r="J5" s="18"/>
      <c r="K5" s="18"/>
      <c r="L5" s="18"/>
      <c r="M5" s="32"/>
    </row>
    <row r="6" spans="1:13" ht="24" customHeight="1" thickBot="1">
      <c r="A6" s="21">
        <v>46054</v>
      </c>
      <c r="B6" s="25" t="s">
        <v>41</v>
      </c>
      <c r="C6" s="25" t="s">
        <v>9</v>
      </c>
      <c r="D6" s="22" t="s">
        <v>34</v>
      </c>
      <c r="E6" s="23">
        <v>921770</v>
      </c>
      <c r="F6" s="20">
        <v>59.999999999999993</v>
      </c>
      <c r="G6" s="40">
        <v>1797.6</v>
      </c>
      <c r="H6" s="16">
        <v>17413.460000000006</v>
      </c>
      <c r="I6" s="20">
        <v>29.96</v>
      </c>
      <c r="J6" s="18"/>
      <c r="K6" s="18"/>
      <c r="L6" s="18"/>
      <c r="M6" s="32"/>
    </row>
    <row r="7" spans="1:13" ht="24" customHeight="1" thickBot="1">
      <c r="A7" s="21">
        <v>46055</v>
      </c>
      <c r="B7" s="25" t="s">
        <v>49</v>
      </c>
      <c r="C7" s="25" t="s">
        <v>6</v>
      </c>
      <c r="D7" s="22" t="s">
        <v>36</v>
      </c>
      <c r="E7" s="23">
        <v>171328</v>
      </c>
      <c r="F7" s="20">
        <v>50</v>
      </c>
      <c r="G7" s="40">
        <v>1498</v>
      </c>
      <c r="H7" s="16">
        <v>15915.460000000006</v>
      </c>
      <c r="I7" s="20">
        <v>29.96</v>
      </c>
      <c r="J7" s="18"/>
      <c r="K7" s="18"/>
      <c r="L7" s="18"/>
      <c r="M7" s="32"/>
    </row>
    <row r="8" spans="1:13" ht="24" customHeight="1" thickBot="1">
      <c r="A8" s="21">
        <v>46055</v>
      </c>
      <c r="B8" s="25" t="s">
        <v>58</v>
      </c>
      <c r="C8" s="25" t="s">
        <v>114</v>
      </c>
      <c r="D8" s="22" t="s">
        <v>36</v>
      </c>
      <c r="E8" s="30">
        <v>198177</v>
      </c>
      <c r="F8" s="20">
        <v>133.00066755674231</v>
      </c>
      <c r="G8" s="31">
        <v>3984.7</v>
      </c>
      <c r="H8" s="16">
        <v>11930.760000000006</v>
      </c>
      <c r="I8" s="20">
        <v>29.96</v>
      </c>
      <c r="J8" s="18"/>
      <c r="K8" s="18"/>
      <c r="L8" s="18"/>
      <c r="M8" s="32"/>
    </row>
    <row r="9" spans="1:13" ht="24" customHeight="1" thickBot="1">
      <c r="A9" s="21">
        <v>46055</v>
      </c>
      <c r="B9" s="22" t="s">
        <v>54</v>
      </c>
      <c r="C9" s="22" t="s">
        <v>16</v>
      </c>
      <c r="D9" s="22" t="s">
        <v>34</v>
      </c>
      <c r="E9" s="30">
        <v>235866</v>
      </c>
      <c r="F9" s="20">
        <v>50</v>
      </c>
      <c r="G9" s="40">
        <v>1498</v>
      </c>
      <c r="H9" s="16">
        <v>10432.760000000006</v>
      </c>
      <c r="I9" s="20">
        <v>29.96</v>
      </c>
      <c r="J9" s="18"/>
      <c r="K9" s="18"/>
      <c r="L9" s="18"/>
      <c r="M9" s="32"/>
    </row>
    <row r="10" spans="1:13" ht="24" customHeight="1" thickBot="1">
      <c r="A10" s="21">
        <v>46055</v>
      </c>
      <c r="B10" s="25" t="s">
        <v>43</v>
      </c>
      <c r="C10" s="25" t="s">
        <v>1</v>
      </c>
      <c r="D10" s="22" t="s">
        <v>36</v>
      </c>
      <c r="E10" s="30">
        <v>173019</v>
      </c>
      <c r="F10" s="20">
        <v>90</v>
      </c>
      <c r="G10" s="40">
        <v>2696.4</v>
      </c>
      <c r="H10" s="16">
        <v>7736.360000000006</v>
      </c>
      <c r="I10" s="20">
        <v>29.96</v>
      </c>
      <c r="J10" s="18"/>
      <c r="K10" s="18"/>
      <c r="L10" s="18"/>
      <c r="M10" s="32"/>
    </row>
    <row r="11" spans="1:13" ht="24" customHeight="1" thickBot="1">
      <c r="A11" s="21">
        <v>46055</v>
      </c>
      <c r="B11" s="22" t="s">
        <v>59</v>
      </c>
      <c r="C11" s="22" t="s">
        <v>7</v>
      </c>
      <c r="D11" s="22" t="s">
        <v>36</v>
      </c>
      <c r="E11" s="30">
        <v>235805</v>
      </c>
      <c r="F11" s="20">
        <v>50</v>
      </c>
      <c r="G11" s="40">
        <v>1498</v>
      </c>
      <c r="H11" s="16">
        <v>6238.360000000006</v>
      </c>
      <c r="I11" s="20">
        <v>29.96</v>
      </c>
      <c r="J11" s="18"/>
      <c r="K11" s="18"/>
      <c r="L11" s="18"/>
      <c r="M11" s="32"/>
    </row>
    <row r="12" spans="1:13" s="34" customFormat="1" ht="24" customHeight="1" thickBot="1">
      <c r="A12" s="33">
        <v>46055</v>
      </c>
      <c r="B12" s="34" t="s">
        <v>42</v>
      </c>
      <c r="C12" s="34" t="s">
        <v>32</v>
      </c>
      <c r="D12" s="34" t="s">
        <v>35</v>
      </c>
      <c r="E12" s="75">
        <v>274550</v>
      </c>
      <c r="F12" s="20">
        <v>1.6688918558077437</v>
      </c>
      <c r="G12" s="36">
        <v>50</v>
      </c>
      <c r="H12" s="16">
        <v>6188.360000000006</v>
      </c>
      <c r="I12" s="37">
        <v>29.96</v>
      </c>
      <c r="J12" s="38"/>
      <c r="K12" s="38" t="s">
        <v>115</v>
      </c>
      <c r="L12" s="38"/>
      <c r="M12" s="39"/>
    </row>
    <row r="13" spans="1:13" ht="24" customHeight="1" thickBot="1">
      <c r="A13" s="21">
        <v>46055</v>
      </c>
      <c r="B13" s="25" t="s">
        <v>42</v>
      </c>
      <c r="C13" s="25" t="s">
        <v>32</v>
      </c>
      <c r="D13" s="22" t="s">
        <v>35</v>
      </c>
      <c r="E13" s="30">
        <v>274550</v>
      </c>
      <c r="F13" s="20">
        <v>48.331108144192257</v>
      </c>
      <c r="G13" s="31">
        <v>1448</v>
      </c>
      <c r="H13" s="16">
        <v>4740.360000000006</v>
      </c>
      <c r="I13" s="20">
        <v>29.96</v>
      </c>
      <c r="J13" s="18"/>
      <c r="K13" s="18"/>
      <c r="L13" s="18"/>
      <c r="M13" s="32"/>
    </row>
    <row r="14" spans="1:13" ht="24" customHeight="1" thickBot="1">
      <c r="A14" s="21">
        <v>46055</v>
      </c>
      <c r="B14" s="22" t="s">
        <v>55</v>
      </c>
      <c r="C14" s="22" t="s">
        <v>15</v>
      </c>
      <c r="D14" s="22" t="s">
        <v>36</v>
      </c>
      <c r="E14" s="23">
        <v>280891</v>
      </c>
      <c r="F14" s="20">
        <v>50</v>
      </c>
      <c r="G14" s="40">
        <v>1498</v>
      </c>
      <c r="H14" s="16">
        <v>3242.360000000006</v>
      </c>
      <c r="I14" s="20">
        <v>29.96</v>
      </c>
      <c r="J14" s="18"/>
      <c r="K14" s="18"/>
      <c r="L14" s="18"/>
      <c r="M14" s="32"/>
    </row>
    <row r="15" spans="1:13" ht="24" customHeight="1" thickBot="1">
      <c r="A15" s="21">
        <v>46055</v>
      </c>
      <c r="B15" s="22" t="s">
        <v>53</v>
      </c>
      <c r="C15" s="22" t="s">
        <v>10</v>
      </c>
      <c r="D15" s="22" t="s">
        <v>34</v>
      </c>
      <c r="E15" s="30">
        <v>295808</v>
      </c>
      <c r="F15" s="20">
        <v>50</v>
      </c>
      <c r="G15" s="40">
        <v>1498</v>
      </c>
      <c r="H15" s="16">
        <v>1744.360000000006</v>
      </c>
      <c r="I15" s="20">
        <v>29.96</v>
      </c>
      <c r="J15" s="18"/>
      <c r="K15" s="18"/>
      <c r="L15" s="18"/>
      <c r="M15" s="32"/>
    </row>
    <row r="16" spans="1:13" ht="24" customHeight="1" thickBot="1">
      <c r="A16" s="21">
        <v>46055</v>
      </c>
      <c r="B16" s="25" t="s">
        <v>50</v>
      </c>
      <c r="C16" s="25" t="s">
        <v>5</v>
      </c>
      <c r="D16" s="22" t="s">
        <v>35</v>
      </c>
      <c r="E16" s="23">
        <v>196461</v>
      </c>
      <c r="F16" s="20">
        <v>50</v>
      </c>
      <c r="G16" s="31">
        <v>1498</v>
      </c>
      <c r="H16" s="16">
        <v>246.36000000000604</v>
      </c>
      <c r="I16" s="20">
        <v>29.96</v>
      </c>
      <c r="J16" s="18"/>
      <c r="K16" s="18"/>
      <c r="L16" s="18"/>
      <c r="M16" s="32"/>
    </row>
    <row r="17" spans="1:13" ht="24" customHeight="1" thickBot="1">
      <c r="A17" s="21">
        <v>46055</v>
      </c>
      <c r="B17" s="22" t="s">
        <v>39</v>
      </c>
      <c r="C17" s="22" t="s">
        <v>40</v>
      </c>
      <c r="D17" s="22" t="s">
        <v>34</v>
      </c>
      <c r="E17" s="41" t="s">
        <v>20</v>
      </c>
      <c r="F17" s="20">
        <v>33.377837116154872</v>
      </c>
      <c r="G17" s="31">
        <v>1000</v>
      </c>
      <c r="H17" s="16">
        <v>-753.63999999999396</v>
      </c>
      <c r="I17" s="20">
        <v>29.96</v>
      </c>
      <c r="J17" s="18"/>
      <c r="K17" s="18"/>
      <c r="L17" s="18"/>
      <c r="M17" s="32"/>
    </row>
    <row r="18" spans="1:13" ht="24" customHeight="1" thickBot="1">
      <c r="A18" s="21">
        <v>46055</v>
      </c>
      <c r="B18" s="22" t="s">
        <v>60</v>
      </c>
      <c r="C18" s="22" t="s">
        <v>2</v>
      </c>
      <c r="D18" s="22" t="s">
        <v>36</v>
      </c>
      <c r="E18" s="23">
        <v>149005</v>
      </c>
      <c r="F18" s="20">
        <v>50</v>
      </c>
      <c r="G18" s="31">
        <v>1498</v>
      </c>
      <c r="H18" s="16">
        <v>-2251.639999999994</v>
      </c>
      <c r="I18" s="20">
        <v>29.96</v>
      </c>
      <c r="J18" s="18"/>
      <c r="K18" s="18"/>
      <c r="L18" s="18"/>
      <c r="M18" s="32"/>
    </row>
    <row r="19" spans="1:13" ht="24" customHeight="1" thickBot="1">
      <c r="A19" s="21">
        <v>46055</v>
      </c>
      <c r="B19" s="22" t="s">
        <v>63</v>
      </c>
      <c r="C19" s="22" t="s">
        <v>12</v>
      </c>
      <c r="D19" s="22" t="s">
        <v>35</v>
      </c>
      <c r="E19" s="23">
        <v>253295</v>
      </c>
      <c r="F19" s="20">
        <v>96.001335113484643</v>
      </c>
      <c r="G19" s="31">
        <v>2876.2</v>
      </c>
      <c r="H19" s="16">
        <v>-5127.8399999999938</v>
      </c>
      <c r="I19" s="20">
        <v>29.96</v>
      </c>
      <c r="J19" s="18"/>
      <c r="K19" s="18"/>
      <c r="L19" s="18"/>
      <c r="M19" s="32"/>
    </row>
    <row r="20" spans="1:13" ht="24" customHeight="1" thickBot="1">
      <c r="A20" s="21">
        <v>46055</v>
      </c>
      <c r="B20" s="22" t="s">
        <v>52</v>
      </c>
      <c r="C20" s="22" t="s">
        <v>4</v>
      </c>
      <c r="D20" s="22" t="s">
        <v>34</v>
      </c>
      <c r="E20" s="23">
        <v>173814</v>
      </c>
      <c r="F20" s="20">
        <v>40</v>
      </c>
      <c r="G20" s="31">
        <v>1198.4000000000001</v>
      </c>
      <c r="H20" s="16">
        <v>-6326.2399999999943</v>
      </c>
      <c r="I20" s="20">
        <v>29.96</v>
      </c>
      <c r="J20" s="18"/>
      <c r="K20" s="18"/>
      <c r="L20" s="18"/>
      <c r="M20" s="32"/>
    </row>
    <row r="21" spans="1:13" ht="24" customHeight="1" thickBot="1">
      <c r="A21" s="21">
        <v>46056</v>
      </c>
      <c r="B21" s="25" t="s">
        <v>49</v>
      </c>
      <c r="C21" s="25" t="s">
        <v>6</v>
      </c>
      <c r="D21" s="22" t="s">
        <v>36</v>
      </c>
      <c r="E21" s="30">
        <v>171510</v>
      </c>
      <c r="F21" s="20">
        <v>50</v>
      </c>
      <c r="G21" s="31">
        <v>1498</v>
      </c>
      <c r="H21" s="16">
        <v>-7824.2399999999943</v>
      </c>
      <c r="I21" s="20">
        <v>29.96</v>
      </c>
      <c r="J21" s="18"/>
      <c r="K21" s="18"/>
      <c r="L21" s="18"/>
      <c r="M21" s="32"/>
    </row>
    <row r="22" spans="1:13" ht="24" customHeight="1" thickBot="1">
      <c r="A22" s="21">
        <v>46056</v>
      </c>
      <c r="B22" s="25" t="s">
        <v>43</v>
      </c>
      <c r="C22" s="25" t="s">
        <v>1</v>
      </c>
      <c r="D22" s="22" t="s">
        <v>36</v>
      </c>
      <c r="E22" s="30">
        <v>173311</v>
      </c>
      <c r="F22" s="20">
        <v>90</v>
      </c>
      <c r="G22" s="40">
        <v>2696.4</v>
      </c>
      <c r="H22" s="16">
        <v>-10520.639999999994</v>
      </c>
      <c r="I22" s="20">
        <v>29.96</v>
      </c>
      <c r="J22" s="18"/>
      <c r="K22" s="18"/>
      <c r="L22" s="18"/>
      <c r="M22" s="32"/>
    </row>
    <row r="23" spans="1:13" ht="24" customHeight="1" thickBot="1">
      <c r="A23" s="21">
        <v>46056</v>
      </c>
      <c r="B23" s="22" t="s">
        <v>51</v>
      </c>
      <c r="C23" s="22" t="s">
        <v>3</v>
      </c>
      <c r="D23" s="22" t="s">
        <v>34</v>
      </c>
      <c r="E23" s="23">
        <v>305727</v>
      </c>
      <c r="F23" s="20">
        <v>50</v>
      </c>
      <c r="G23" s="31">
        <v>1498</v>
      </c>
      <c r="H23" s="16">
        <v>-12018.639999999994</v>
      </c>
      <c r="I23" s="20">
        <v>29.96</v>
      </c>
      <c r="J23" s="18"/>
      <c r="K23" s="18"/>
      <c r="L23" s="18"/>
      <c r="M23" s="32"/>
    </row>
    <row r="24" spans="1:13" ht="24" customHeight="1" thickBot="1">
      <c r="A24" s="21">
        <v>46056</v>
      </c>
      <c r="B24" s="22" t="s">
        <v>55</v>
      </c>
      <c r="C24" s="22" t="s">
        <v>15</v>
      </c>
      <c r="D24" s="22" t="s">
        <v>36</v>
      </c>
      <c r="E24" s="23">
        <v>281020</v>
      </c>
      <c r="F24" s="20">
        <v>50</v>
      </c>
      <c r="G24" s="31">
        <v>1498</v>
      </c>
      <c r="H24" s="16">
        <v>-13516.639999999994</v>
      </c>
      <c r="I24" s="20">
        <v>29.96</v>
      </c>
      <c r="J24" s="18"/>
      <c r="K24" s="18"/>
      <c r="L24" s="18"/>
      <c r="M24" s="32"/>
    </row>
    <row r="25" spans="1:13" ht="24" customHeight="1" thickBot="1">
      <c r="A25" s="21">
        <v>46056</v>
      </c>
      <c r="B25" s="25" t="s">
        <v>50</v>
      </c>
      <c r="C25" s="25" t="s">
        <v>5</v>
      </c>
      <c r="D25" s="22" t="s">
        <v>36</v>
      </c>
      <c r="E25" s="23">
        <v>196594</v>
      </c>
      <c r="F25" s="20">
        <v>50</v>
      </c>
      <c r="G25" s="31">
        <v>1498</v>
      </c>
      <c r="H25" s="16">
        <v>-15014.639999999994</v>
      </c>
      <c r="I25" s="20">
        <v>29.96</v>
      </c>
      <c r="J25" s="18"/>
      <c r="K25" s="18"/>
      <c r="L25" s="18"/>
      <c r="M25" s="32"/>
    </row>
    <row r="26" spans="1:13" ht="24" customHeight="1" thickBot="1">
      <c r="A26" s="21">
        <v>46056</v>
      </c>
      <c r="B26" s="22" t="s">
        <v>54</v>
      </c>
      <c r="C26" s="22" t="s">
        <v>16</v>
      </c>
      <c r="D26" s="22" t="s">
        <v>36</v>
      </c>
      <c r="E26" s="23">
        <v>236032</v>
      </c>
      <c r="F26" s="20">
        <v>50</v>
      </c>
      <c r="G26" s="31">
        <v>1498</v>
      </c>
      <c r="H26" s="16">
        <v>-16512.639999999992</v>
      </c>
      <c r="I26" s="20">
        <v>29.96</v>
      </c>
      <c r="J26" s="18"/>
      <c r="K26" s="18"/>
      <c r="L26" s="18"/>
      <c r="M26" s="32"/>
    </row>
    <row r="27" spans="1:13" ht="24" customHeight="1" thickBot="1">
      <c r="A27" s="21">
        <v>46056</v>
      </c>
      <c r="B27" s="25" t="s">
        <v>41</v>
      </c>
      <c r="C27" s="25" t="s">
        <v>9</v>
      </c>
      <c r="D27" s="22" t="s">
        <v>34</v>
      </c>
      <c r="E27" s="23">
        <v>921960</v>
      </c>
      <c r="F27" s="20">
        <v>59.999999999999993</v>
      </c>
      <c r="G27" s="40">
        <v>1797.6</v>
      </c>
      <c r="H27" s="16">
        <v>-18310.239999999991</v>
      </c>
      <c r="I27" s="20">
        <v>29.96</v>
      </c>
      <c r="J27" s="18"/>
      <c r="K27" s="18"/>
      <c r="L27" s="18"/>
      <c r="M27" s="32"/>
    </row>
    <row r="28" spans="1:13" ht="24" customHeight="1" thickBot="1">
      <c r="A28" s="21">
        <v>46056</v>
      </c>
      <c r="B28" s="22" t="s">
        <v>45</v>
      </c>
      <c r="C28" s="22" t="s">
        <v>7</v>
      </c>
      <c r="D28" s="22" t="s">
        <v>34</v>
      </c>
      <c r="E28" s="23">
        <v>175904</v>
      </c>
      <c r="F28" s="20">
        <v>108.99866488651534</v>
      </c>
      <c r="G28" s="31">
        <v>3265.6</v>
      </c>
      <c r="H28" s="16">
        <v>-21575.839999999989</v>
      </c>
      <c r="I28" s="20">
        <v>29.96</v>
      </c>
      <c r="J28" s="18"/>
      <c r="K28" s="18"/>
      <c r="L28" s="18"/>
      <c r="M28" s="32"/>
    </row>
    <row r="29" spans="1:13" ht="24" customHeight="1" thickBot="1">
      <c r="A29" s="21">
        <v>46056</v>
      </c>
      <c r="B29" s="22" t="s">
        <v>46</v>
      </c>
      <c r="C29" s="25" t="s">
        <v>47</v>
      </c>
      <c r="D29" s="22" t="s">
        <v>36</v>
      </c>
      <c r="E29" s="23">
        <v>238199</v>
      </c>
      <c r="F29" s="20">
        <v>132.51001335113483</v>
      </c>
      <c r="G29" s="31">
        <v>3970</v>
      </c>
      <c r="H29" s="16">
        <v>-25545.839999999989</v>
      </c>
      <c r="I29" s="20">
        <v>29.96</v>
      </c>
      <c r="J29" s="18"/>
      <c r="K29" s="18"/>
      <c r="L29" s="18"/>
      <c r="M29" s="32"/>
    </row>
    <row r="30" spans="1:13" ht="24" customHeight="1" thickBot="1">
      <c r="A30" s="21">
        <v>46056</v>
      </c>
      <c r="B30" s="22" t="s">
        <v>52</v>
      </c>
      <c r="C30" s="22" t="s">
        <v>4</v>
      </c>
      <c r="D30" s="22" t="s">
        <v>34</v>
      </c>
      <c r="E30" s="23">
        <v>174013</v>
      </c>
      <c r="F30" s="20">
        <v>50</v>
      </c>
      <c r="G30" s="31">
        <v>1498</v>
      </c>
      <c r="H30" s="16">
        <v>-27043.839999999989</v>
      </c>
      <c r="I30" s="20">
        <v>29.96</v>
      </c>
      <c r="J30" s="18"/>
      <c r="K30" s="18"/>
      <c r="L30" s="18"/>
      <c r="M30" s="32"/>
    </row>
    <row r="31" spans="1:13" ht="24" customHeight="1" thickBot="1">
      <c r="A31" s="21">
        <v>46056</v>
      </c>
      <c r="B31" s="25" t="s">
        <v>48</v>
      </c>
      <c r="C31" s="25" t="s">
        <v>17</v>
      </c>
      <c r="D31" s="22" t="s">
        <v>34</v>
      </c>
      <c r="E31" s="23">
        <v>160174</v>
      </c>
      <c r="F31" s="20">
        <v>59.999999999999993</v>
      </c>
      <c r="G31" s="40">
        <v>1797.6</v>
      </c>
      <c r="H31" s="16">
        <v>-28841.439999999988</v>
      </c>
      <c r="I31" s="20">
        <v>29.96</v>
      </c>
      <c r="J31" s="18"/>
      <c r="K31" s="18"/>
      <c r="L31" s="18"/>
      <c r="M31" s="32"/>
    </row>
    <row r="32" spans="1:13" ht="24" customHeight="1" thickBot="1">
      <c r="A32" s="21">
        <v>46056</v>
      </c>
      <c r="B32" s="22" t="s">
        <v>63</v>
      </c>
      <c r="C32" s="22" t="s">
        <v>12</v>
      </c>
      <c r="D32" s="22" t="s">
        <v>35</v>
      </c>
      <c r="E32" s="23">
        <v>253638</v>
      </c>
      <c r="F32" s="20">
        <v>98.000667556742314</v>
      </c>
      <c r="G32" s="31">
        <v>2936.1</v>
      </c>
      <c r="H32" s="16">
        <v>-31777.539999999986</v>
      </c>
      <c r="I32" s="20">
        <v>29.96</v>
      </c>
      <c r="J32" s="18"/>
      <c r="K32" s="18"/>
      <c r="L32" s="18"/>
      <c r="M32" s="32"/>
    </row>
    <row r="33" spans="1:13" ht="24" customHeight="1" thickBot="1">
      <c r="A33" s="21">
        <v>46057</v>
      </c>
      <c r="B33" s="25" t="s">
        <v>43</v>
      </c>
      <c r="C33" s="25" t="s">
        <v>1</v>
      </c>
      <c r="D33" s="22" t="s">
        <v>36</v>
      </c>
      <c r="E33" s="23">
        <v>173605</v>
      </c>
      <c r="F33" s="20">
        <v>90</v>
      </c>
      <c r="G33" s="40">
        <v>2696.4</v>
      </c>
      <c r="H33" s="16">
        <v>-34473.939999999988</v>
      </c>
      <c r="I33" s="20">
        <v>29.96</v>
      </c>
      <c r="J33" s="18"/>
      <c r="K33" s="18"/>
      <c r="L33" s="18"/>
      <c r="M33" s="32"/>
    </row>
    <row r="34" spans="1:13" ht="24" customHeight="1" thickBot="1">
      <c r="A34" s="21">
        <v>46057</v>
      </c>
      <c r="B34" s="25" t="s">
        <v>49</v>
      </c>
      <c r="C34" s="25" t="s">
        <v>6</v>
      </c>
      <c r="D34" s="22" t="s">
        <v>35</v>
      </c>
      <c r="E34" s="23">
        <v>171663</v>
      </c>
      <c r="F34" s="20">
        <v>59.999999999999993</v>
      </c>
      <c r="G34" s="40">
        <v>1797.6</v>
      </c>
      <c r="H34" s="16">
        <v>-36271.539999999986</v>
      </c>
      <c r="I34" s="20">
        <v>29.96</v>
      </c>
      <c r="J34" s="18"/>
      <c r="K34" s="18"/>
      <c r="L34" s="18"/>
      <c r="M34" s="32"/>
    </row>
    <row r="35" spans="1:13" ht="24" customHeight="1" thickBot="1">
      <c r="A35" s="21">
        <v>46056</v>
      </c>
      <c r="B35" s="22" t="s">
        <v>59</v>
      </c>
      <c r="C35" s="22" t="s">
        <v>11</v>
      </c>
      <c r="D35" s="22" t="s">
        <v>34</v>
      </c>
      <c r="E35" s="30">
        <v>235910</v>
      </c>
      <c r="F35" s="20">
        <v>50</v>
      </c>
      <c r="G35" s="31">
        <v>1498</v>
      </c>
      <c r="H35" s="16">
        <v>-37769.539999999986</v>
      </c>
      <c r="I35" s="20">
        <v>29.96</v>
      </c>
      <c r="J35" s="18"/>
      <c r="K35" s="18"/>
      <c r="L35" s="18"/>
      <c r="M35" s="32"/>
    </row>
    <row r="36" spans="1:13" ht="24" hidden="1" customHeight="1" thickBot="1">
      <c r="A36" s="21">
        <v>46057</v>
      </c>
      <c r="B36" s="26" t="s">
        <v>20</v>
      </c>
      <c r="C36" s="26" t="s">
        <v>20</v>
      </c>
      <c r="D36" s="26" t="s">
        <v>20</v>
      </c>
      <c r="E36" s="27" t="s">
        <v>65</v>
      </c>
      <c r="F36" s="20"/>
      <c r="G36" s="31">
        <v>-70000</v>
      </c>
      <c r="H36" s="16">
        <v>32230.460000000014</v>
      </c>
      <c r="I36" s="20">
        <v>29.96</v>
      </c>
      <c r="J36" s="28" t="s">
        <v>116</v>
      </c>
      <c r="K36" s="18"/>
      <c r="L36" s="18"/>
      <c r="M36" s="32"/>
    </row>
    <row r="37" spans="1:13" ht="24" customHeight="1" thickBot="1">
      <c r="A37" s="21">
        <v>46057</v>
      </c>
      <c r="B37" s="22" t="s">
        <v>51</v>
      </c>
      <c r="C37" s="22" t="s">
        <v>3</v>
      </c>
      <c r="D37" s="22" t="s">
        <v>35</v>
      </c>
      <c r="E37" s="23">
        <v>305914</v>
      </c>
      <c r="F37" s="20">
        <v>50</v>
      </c>
      <c r="G37" s="31">
        <v>1498</v>
      </c>
      <c r="H37" s="16">
        <v>30732.460000000014</v>
      </c>
      <c r="I37" s="20">
        <v>29.96</v>
      </c>
      <c r="J37" s="18"/>
      <c r="K37" s="18"/>
      <c r="L37" s="18"/>
      <c r="M37" s="32"/>
    </row>
    <row r="38" spans="1:13" ht="24" customHeight="1" thickBot="1">
      <c r="A38" s="21">
        <v>46057</v>
      </c>
      <c r="B38" s="25" t="s">
        <v>50</v>
      </c>
      <c r="C38" s="25" t="s">
        <v>5</v>
      </c>
      <c r="D38" s="22" t="s">
        <v>34</v>
      </c>
      <c r="E38" s="23">
        <v>196762</v>
      </c>
      <c r="F38" s="20">
        <v>50</v>
      </c>
      <c r="G38" s="31">
        <v>1498</v>
      </c>
      <c r="H38" s="16">
        <v>29234.460000000014</v>
      </c>
      <c r="I38" s="20">
        <v>29.96</v>
      </c>
      <c r="J38" s="18"/>
      <c r="K38" s="18"/>
      <c r="L38" s="18"/>
      <c r="M38" s="32"/>
    </row>
    <row r="39" spans="1:13" ht="24" customHeight="1" thickBot="1">
      <c r="A39" s="21">
        <v>46057</v>
      </c>
      <c r="B39" s="22" t="s">
        <v>53</v>
      </c>
      <c r="C39" s="22" t="s">
        <v>10</v>
      </c>
      <c r="D39" s="22" t="s">
        <v>34</v>
      </c>
      <c r="E39" s="23">
        <v>295978</v>
      </c>
      <c r="F39" s="20">
        <v>50</v>
      </c>
      <c r="G39" s="31">
        <v>1498</v>
      </c>
      <c r="H39" s="16">
        <v>27736.460000000014</v>
      </c>
      <c r="I39" s="20">
        <v>29.96</v>
      </c>
      <c r="J39" s="18"/>
      <c r="K39" s="18"/>
      <c r="L39" s="18"/>
      <c r="M39" s="32"/>
    </row>
    <row r="40" spans="1:13" ht="24" customHeight="1" thickBot="1">
      <c r="A40" s="21">
        <v>46057</v>
      </c>
      <c r="B40" s="22" t="s">
        <v>39</v>
      </c>
      <c r="C40" s="22" t="s">
        <v>40</v>
      </c>
      <c r="D40" s="22" t="s">
        <v>34</v>
      </c>
      <c r="E40" s="41" t="s">
        <v>20</v>
      </c>
      <c r="F40" s="20">
        <v>16.688918558077436</v>
      </c>
      <c r="G40" s="31">
        <v>500</v>
      </c>
      <c r="H40" s="16">
        <v>27236.460000000014</v>
      </c>
      <c r="I40" s="20">
        <v>29.96</v>
      </c>
      <c r="J40" s="18"/>
      <c r="K40" s="18"/>
      <c r="L40" s="18"/>
      <c r="M40" s="32"/>
    </row>
    <row r="41" spans="1:13" ht="24" customHeight="1" thickBot="1">
      <c r="A41" s="21">
        <v>46057</v>
      </c>
      <c r="B41" s="22" t="s">
        <v>52</v>
      </c>
      <c r="C41" s="22" t="s">
        <v>4</v>
      </c>
      <c r="D41" s="22" t="s">
        <v>35</v>
      </c>
      <c r="E41" s="23">
        <v>174191</v>
      </c>
      <c r="F41" s="20">
        <v>69.999999999999986</v>
      </c>
      <c r="G41" s="31">
        <v>2097.1999999999998</v>
      </c>
      <c r="H41" s="16">
        <v>25139.260000000013</v>
      </c>
      <c r="I41" s="20">
        <v>29.96</v>
      </c>
      <c r="J41" s="18"/>
      <c r="K41" s="18"/>
      <c r="L41" s="18"/>
      <c r="M41" s="32"/>
    </row>
    <row r="42" spans="1:13" ht="24" customHeight="1" thickBot="1">
      <c r="A42" s="21">
        <v>46057</v>
      </c>
      <c r="B42" s="22" t="s">
        <v>54</v>
      </c>
      <c r="C42" s="22" t="s">
        <v>16</v>
      </c>
      <c r="D42" s="22" t="s">
        <v>35</v>
      </c>
      <c r="E42" s="23">
        <v>236164</v>
      </c>
      <c r="F42" s="20">
        <v>69.999999999999986</v>
      </c>
      <c r="G42" s="31">
        <v>2097.1999999999998</v>
      </c>
      <c r="H42" s="16">
        <v>23042.060000000012</v>
      </c>
      <c r="I42" s="20">
        <v>29.96</v>
      </c>
      <c r="J42" s="18"/>
      <c r="K42" s="18"/>
      <c r="L42" s="18"/>
      <c r="M42" s="32"/>
    </row>
    <row r="43" spans="1:13" ht="24" customHeight="1" thickBot="1">
      <c r="A43" s="21">
        <v>46057</v>
      </c>
      <c r="B43" s="22" t="s">
        <v>55</v>
      </c>
      <c r="C43" s="22" t="s">
        <v>15</v>
      </c>
      <c r="D43" s="22" t="s">
        <v>35</v>
      </c>
      <c r="E43" s="23">
        <v>281169</v>
      </c>
      <c r="F43" s="20">
        <v>69.999999999999986</v>
      </c>
      <c r="G43" s="31">
        <v>2097.1999999999998</v>
      </c>
      <c r="H43" s="16">
        <v>20944.860000000011</v>
      </c>
      <c r="I43" s="20">
        <v>29.96</v>
      </c>
      <c r="J43" s="18"/>
      <c r="K43" s="18"/>
      <c r="L43" s="18"/>
      <c r="M43" s="32"/>
    </row>
    <row r="44" spans="1:13" ht="24" customHeight="1" thickBot="1">
      <c r="A44" s="21">
        <v>46057</v>
      </c>
      <c r="B44" s="22" t="s">
        <v>59</v>
      </c>
      <c r="C44" s="22" t="s">
        <v>11</v>
      </c>
      <c r="D44" s="22" t="s">
        <v>35</v>
      </c>
      <c r="E44" s="23">
        <v>236136</v>
      </c>
      <c r="F44" s="20">
        <v>69.999999999999986</v>
      </c>
      <c r="G44" s="31">
        <v>2097.1999999999998</v>
      </c>
      <c r="H44" s="16">
        <v>18847.660000000011</v>
      </c>
      <c r="I44" s="20">
        <v>29.96</v>
      </c>
      <c r="J44" s="18"/>
      <c r="K44" s="18"/>
      <c r="L44" s="18"/>
      <c r="M44" s="32"/>
    </row>
    <row r="45" spans="1:13" ht="24" customHeight="1" thickBot="1">
      <c r="A45" s="21">
        <v>46057</v>
      </c>
      <c r="B45" s="25" t="s">
        <v>41</v>
      </c>
      <c r="C45" s="25" t="s">
        <v>9</v>
      </c>
      <c r="D45" s="22" t="s">
        <v>35</v>
      </c>
      <c r="E45" s="23">
        <v>922112</v>
      </c>
      <c r="F45" s="20">
        <v>80</v>
      </c>
      <c r="G45" s="31">
        <v>2396.8000000000002</v>
      </c>
      <c r="H45" s="16">
        <v>16450.860000000011</v>
      </c>
      <c r="I45" s="20">
        <v>29.96</v>
      </c>
      <c r="J45" s="18"/>
      <c r="K45" s="18"/>
      <c r="L45" s="18"/>
      <c r="M45" s="32"/>
    </row>
    <row r="46" spans="1:13" ht="24" customHeight="1" thickBot="1">
      <c r="A46" s="21">
        <v>46057</v>
      </c>
      <c r="B46" s="25" t="s">
        <v>48</v>
      </c>
      <c r="C46" s="25" t="s">
        <v>17</v>
      </c>
      <c r="D46" s="22" t="s">
        <v>36</v>
      </c>
      <c r="E46" s="23">
        <v>160389</v>
      </c>
      <c r="F46" s="20">
        <v>50</v>
      </c>
      <c r="G46" s="31">
        <v>1498</v>
      </c>
      <c r="H46" s="16">
        <v>14952.860000000011</v>
      </c>
      <c r="I46" s="20">
        <v>29.96</v>
      </c>
      <c r="J46" s="18"/>
      <c r="K46" s="18"/>
      <c r="L46" s="18"/>
      <c r="M46" s="32"/>
    </row>
    <row r="47" spans="1:13" ht="24" customHeight="1" thickBot="1">
      <c r="A47" s="21">
        <v>46057</v>
      </c>
      <c r="B47" s="22" t="s">
        <v>53</v>
      </c>
      <c r="C47" s="22" t="s">
        <v>10</v>
      </c>
      <c r="D47" s="22" t="s">
        <v>34</v>
      </c>
      <c r="E47" s="23">
        <v>296087</v>
      </c>
      <c r="F47" s="20">
        <v>90</v>
      </c>
      <c r="G47" s="40">
        <v>2696.4</v>
      </c>
      <c r="H47" s="16">
        <v>12256.460000000012</v>
      </c>
      <c r="I47" s="20">
        <v>29.96</v>
      </c>
      <c r="J47" s="18"/>
      <c r="K47" s="18"/>
      <c r="L47" s="18"/>
      <c r="M47" s="32"/>
    </row>
    <row r="48" spans="1:13" ht="24" customHeight="1" thickBot="1">
      <c r="A48" s="21">
        <v>46058</v>
      </c>
      <c r="B48" s="22" t="s">
        <v>42</v>
      </c>
      <c r="C48" s="22" t="s">
        <v>32</v>
      </c>
      <c r="D48" s="22" t="s">
        <v>34</v>
      </c>
      <c r="E48" s="30">
        <v>274666</v>
      </c>
      <c r="F48" s="20">
        <v>50</v>
      </c>
      <c r="G48" s="31">
        <v>1498</v>
      </c>
      <c r="H48" s="16">
        <v>10758.460000000012</v>
      </c>
      <c r="I48" s="20">
        <v>29.96</v>
      </c>
      <c r="J48" s="18"/>
      <c r="K48" s="18"/>
      <c r="L48" s="18"/>
      <c r="M48" s="32"/>
    </row>
    <row r="49" spans="1:13" ht="24" customHeight="1" thickBot="1">
      <c r="A49" s="21">
        <v>46058</v>
      </c>
      <c r="B49" s="22" t="s">
        <v>59</v>
      </c>
      <c r="C49" s="22" t="s">
        <v>11</v>
      </c>
      <c r="D49" s="22" t="s">
        <v>36</v>
      </c>
      <c r="E49" s="23">
        <v>236314</v>
      </c>
      <c r="F49" s="20">
        <v>50</v>
      </c>
      <c r="G49" s="31">
        <v>1498</v>
      </c>
      <c r="H49" s="16">
        <v>9260.4600000000119</v>
      </c>
      <c r="I49" s="20">
        <v>29.96</v>
      </c>
      <c r="J49" s="18"/>
      <c r="K49" s="18"/>
      <c r="L49" s="18"/>
      <c r="M49" s="32"/>
    </row>
    <row r="50" spans="1:13" ht="24" customHeight="1" thickBot="1">
      <c r="A50" s="21">
        <v>46058</v>
      </c>
      <c r="B50" s="25" t="s">
        <v>43</v>
      </c>
      <c r="C50" s="25" t="s">
        <v>1</v>
      </c>
      <c r="D50" s="22" t="s">
        <v>36</v>
      </c>
      <c r="E50" s="30">
        <v>173897</v>
      </c>
      <c r="F50" s="20">
        <v>90</v>
      </c>
      <c r="G50" s="40">
        <v>2696.4</v>
      </c>
      <c r="H50" s="16">
        <v>6564.0600000000122</v>
      </c>
      <c r="I50" s="20">
        <v>29.96</v>
      </c>
      <c r="J50" s="18"/>
      <c r="K50" s="18"/>
      <c r="L50" s="18"/>
      <c r="M50" s="32"/>
    </row>
    <row r="51" spans="1:13" ht="24" customHeight="1" thickBot="1">
      <c r="A51" s="21">
        <v>46058</v>
      </c>
      <c r="B51" s="22" t="s">
        <v>56</v>
      </c>
      <c r="C51" s="22" t="s">
        <v>62</v>
      </c>
      <c r="D51" s="22" t="s">
        <v>36</v>
      </c>
      <c r="E51" s="23">
        <v>295639</v>
      </c>
      <c r="F51" s="20">
        <v>166.88918558077435</v>
      </c>
      <c r="G51" s="31">
        <v>5000</v>
      </c>
      <c r="H51" s="16">
        <v>1564.0600000000122</v>
      </c>
      <c r="I51" s="20">
        <v>29.96</v>
      </c>
      <c r="J51" s="18"/>
      <c r="K51" s="18"/>
      <c r="L51" s="18"/>
      <c r="M51" s="32"/>
    </row>
    <row r="52" spans="1:13" ht="24" customHeight="1" thickBot="1">
      <c r="A52" s="21">
        <v>46058</v>
      </c>
      <c r="B52" s="22" t="s">
        <v>51</v>
      </c>
      <c r="C52" s="22" t="s">
        <v>3</v>
      </c>
      <c r="D52" s="22" t="s">
        <v>35</v>
      </c>
      <c r="E52" s="23">
        <v>306165</v>
      </c>
      <c r="F52" s="20">
        <v>90</v>
      </c>
      <c r="G52" s="40">
        <v>2696.4</v>
      </c>
      <c r="H52" s="16">
        <v>-1132.3399999999879</v>
      </c>
      <c r="I52" s="20">
        <v>29.96</v>
      </c>
      <c r="J52" s="18"/>
      <c r="K52" s="18"/>
      <c r="L52" s="18"/>
      <c r="M52" s="32"/>
    </row>
    <row r="53" spans="1:13" s="34" customFormat="1" ht="24" customHeight="1" thickBot="1">
      <c r="A53" s="33">
        <v>46058</v>
      </c>
      <c r="B53" s="34" t="s">
        <v>54</v>
      </c>
      <c r="C53" s="34" t="s">
        <v>16</v>
      </c>
      <c r="D53" s="34" t="s">
        <v>36</v>
      </c>
      <c r="E53" s="35">
        <v>236341</v>
      </c>
      <c r="F53" s="20">
        <v>1.6688918558077437</v>
      </c>
      <c r="G53" s="36">
        <v>50</v>
      </c>
      <c r="H53" s="16">
        <v>-1182.3399999999879</v>
      </c>
      <c r="I53" s="37">
        <v>29.96</v>
      </c>
      <c r="J53" s="38"/>
      <c r="K53" s="38" t="s">
        <v>115</v>
      </c>
      <c r="L53" s="38"/>
      <c r="M53" s="39"/>
    </row>
    <row r="54" spans="1:13" ht="24" customHeight="1" thickBot="1">
      <c r="A54" s="21">
        <v>46058</v>
      </c>
      <c r="B54" s="22" t="s">
        <v>54</v>
      </c>
      <c r="C54" s="22" t="s">
        <v>16</v>
      </c>
      <c r="D54" s="22" t="s">
        <v>36</v>
      </c>
      <c r="E54" s="23">
        <v>236341</v>
      </c>
      <c r="F54" s="20">
        <v>48.331108144192257</v>
      </c>
      <c r="G54" s="31">
        <v>1448</v>
      </c>
      <c r="H54" s="16">
        <v>-2630.3399999999879</v>
      </c>
      <c r="I54" s="20">
        <v>29.96</v>
      </c>
      <c r="J54" s="18"/>
      <c r="K54" s="18"/>
      <c r="L54" s="18"/>
      <c r="M54" s="32"/>
    </row>
    <row r="55" spans="1:13" ht="24" customHeight="1" thickBot="1">
      <c r="A55" s="21">
        <v>46058</v>
      </c>
      <c r="B55" s="22" t="s">
        <v>55</v>
      </c>
      <c r="C55" s="22" t="s">
        <v>15</v>
      </c>
      <c r="D55" s="22" t="s">
        <v>35</v>
      </c>
      <c r="E55" s="23">
        <v>281349</v>
      </c>
      <c r="F55" s="20">
        <v>50</v>
      </c>
      <c r="G55" s="31">
        <v>1498</v>
      </c>
      <c r="H55" s="16">
        <v>-4128.3399999999874</v>
      </c>
      <c r="I55" s="20">
        <v>29.96</v>
      </c>
      <c r="J55" s="18"/>
      <c r="K55" s="18"/>
      <c r="L55" s="18"/>
      <c r="M55" s="32"/>
    </row>
    <row r="56" spans="1:13" ht="24" customHeight="1" thickBot="1">
      <c r="A56" s="21">
        <v>46058</v>
      </c>
      <c r="B56" s="25" t="s">
        <v>41</v>
      </c>
      <c r="C56" s="25" t="s">
        <v>9</v>
      </c>
      <c r="D56" s="22" t="s">
        <v>34</v>
      </c>
      <c r="E56" s="23">
        <v>922267</v>
      </c>
      <c r="F56" s="20">
        <v>59.999999999999993</v>
      </c>
      <c r="G56" s="40">
        <v>1797.6</v>
      </c>
      <c r="H56" s="16">
        <v>-5925.9399999999878</v>
      </c>
      <c r="I56" s="20">
        <v>29.96</v>
      </c>
      <c r="J56" s="18"/>
      <c r="K56" s="18"/>
      <c r="L56" s="18"/>
      <c r="M56" s="32"/>
    </row>
    <row r="57" spans="1:13" ht="24" customHeight="1" thickBot="1">
      <c r="A57" s="21">
        <v>46058</v>
      </c>
      <c r="B57" s="22" t="s">
        <v>63</v>
      </c>
      <c r="C57" s="22" t="s">
        <v>12</v>
      </c>
      <c r="D57" s="22" t="s">
        <v>36</v>
      </c>
      <c r="E57" s="23">
        <v>253999</v>
      </c>
      <c r="F57" s="20">
        <v>50</v>
      </c>
      <c r="G57" s="31">
        <v>1498</v>
      </c>
      <c r="H57" s="16">
        <v>-7423.9399999999878</v>
      </c>
      <c r="I57" s="20">
        <v>29.96</v>
      </c>
      <c r="J57" s="18"/>
      <c r="K57" s="18"/>
      <c r="L57" s="18"/>
      <c r="M57" s="32"/>
    </row>
    <row r="58" spans="1:13" ht="24" customHeight="1" thickBot="1">
      <c r="A58" s="21">
        <v>46058</v>
      </c>
      <c r="B58" s="22" t="s">
        <v>53</v>
      </c>
      <c r="C58" s="22" t="s">
        <v>10</v>
      </c>
      <c r="D58" s="22" t="s">
        <v>69</v>
      </c>
      <c r="E58" s="23">
        <v>296391</v>
      </c>
      <c r="F58" s="20">
        <v>90</v>
      </c>
      <c r="G58" s="40">
        <v>2696.4</v>
      </c>
      <c r="H58" s="16">
        <v>-10120.339999999987</v>
      </c>
      <c r="I58" s="20">
        <v>29.96</v>
      </c>
      <c r="J58" s="18"/>
      <c r="K58" s="18"/>
      <c r="L58" s="18"/>
      <c r="M58" s="32"/>
    </row>
    <row r="59" spans="1:13" ht="24" customHeight="1" thickBot="1">
      <c r="A59" s="21">
        <v>46059</v>
      </c>
      <c r="B59" s="22" t="s">
        <v>59</v>
      </c>
      <c r="C59" s="22" t="s">
        <v>11</v>
      </c>
      <c r="D59" s="22" t="s">
        <v>35</v>
      </c>
      <c r="E59" s="23">
        <v>236518</v>
      </c>
      <c r="F59" s="20">
        <v>50</v>
      </c>
      <c r="G59" s="31">
        <v>1498</v>
      </c>
      <c r="H59" s="16">
        <v>-11618.339999999987</v>
      </c>
      <c r="I59" s="20">
        <v>29.96</v>
      </c>
      <c r="J59" s="18"/>
      <c r="K59" s="18"/>
      <c r="L59" s="18"/>
      <c r="M59" s="32"/>
    </row>
    <row r="60" spans="1:13" ht="24" customHeight="1" thickBot="1">
      <c r="A60" s="21">
        <v>46059</v>
      </c>
      <c r="B60" s="25" t="s">
        <v>43</v>
      </c>
      <c r="C60" s="25" t="s">
        <v>1</v>
      </c>
      <c r="D60" s="22" t="s">
        <v>36</v>
      </c>
      <c r="E60" s="30">
        <v>174191</v>
      </c>
      <c r="F60" s="20">
        <v>90</v>
      </c>
      <c r="G60" s="40">
        <v>2696.4</v>
      </c>
      <c r="H60" s="16">
        <v>-14314.739999999987</v>
      </c>
      <c r="I60" s="20">
        <v>29.96</v>
      </c>
      <c r="J60" s="18"/>
      <c r="K60" s="18"/>
      <c r="L60" s="18"/>
      <c r="M60" s="32"/>
    </row>
    <row r="61" spans="1:13" ht="24" customHeight="1" thickBot="1">
      <c r="A61" s="21">
        <v>46059</v>
      </c>
      <c r="B61" s="22" t="s">
        <v>54</v>
      </c>
      <c r="C61" s="22" t="s">
        <v>16</v>
      </c>
      <c r="D61" s="22" t="s">
        <v>36</v>
      </c>
      <c r="E61" s="23">
        <v>236474</v>
      </c>
      <c r="F61" s="20">
        <v>50</v>
      </c>
      <c r="G61" s="31">
        <v>1498</v>
      </c>
      <c r="H61" s="16">
        <v>-15812.739999999987</v>
      </c>
      <c r="I61" s="20">
        <v>29.96</v>
      </c>
      <c r="J61" s="18"/>
      <c r="K61" s="18"/>
      <c r="L61" s="18"/>
      <c r="M61" s="32"/>
    </row>
    <row r="62" spans="1:13" ht="24" customHeight="1" thickBot="1">
      <c r="A62" s="21">
        <v>46059</v>
      </c>
      <c r="B62" s="25" t="s">
        <v>49</v>
      </c>
      <c r="C62" s="25" t="s">
        <v>6</v>
      </c>
      <c r="D62" s="22" t="s">
        <v>36</v>
      </c>
      <c r="E62" s="23">
        <v>171995</v>
      </c>
      <c r="F62" s="20">
        <v>50</v>
      </c>
      <c r="G62" s="31">
        <v>1498</v>
      </c>
      <c r="H62" s="16">
        <v>-17310.739999999987</v>
      </c>
      <c r="I62" s="20">
        <v>29.96</v>
      </c>
      <c r="J62" s="18"/>
      <c r="K62" s="18"/>
      <c r="L62" s="18"/>
      <c r="M62" s="32"/>
    </row>
    <row r="63" spans="1:13" ht="24" customHeight="1" thickBot="1">
      <c r="A63" s="21">
        <v>46059</v>
      </c>
      <c r="B63" s="22" t="s">
        <v>63</v>
      </c>
      <c r="C63" s="25" t="s">
        <v>5</v>
      </c>
      <c r="D63" s="22" t="s">
        <v>36</v>
      </c>
      <c r="E63" s="23">
        <v>254169</v>
      </c>
      <c r="F63" s="20">
        <v>50</v>
      </c>
      <c r="G63" s="31">
        <v>1498</v>
      </c>
      <c r="H63" s="16">
        <v>-18808.739999999987</v>
      </c>
      <c r="I63" s="20">
        <v>29.96</v>
      </c>
      <c r="J63" s="18"/>
      <c r="K63" s="18"/>
      <c r="L63" s="18"/>
      <c r="M63" s="32"/>
    </row>
    <row r="64" spans="1:13" ht="24" customHeight="1" thickBot="1">
      <c r="A64" s="21">
        <v>46059</v>
      </c>
      <c r="B64" s="25" t="s">
        <v>58</v>
      </c>
      <c r="C64" s="76" t="s">
        <v>114</v>
      </c>
      <c r="D64" s="22" t="s">
        <v>35</v>
      </c>
      <c r="E64" s="23">
        <v>198670</v>
      </c>
      <c r="F64" s="20">
        <v>136.00133511348463</v>
      </c>
      <c r="G64" s="31">
        <v>4074.6</v>
      </c>
      <c r="H64" s="16">
        <v>-22883.339999999986</v>
      </c>
      <c r="I64" s="20">
        <v>29.96</v>
      </c>
      <c r="J64" s="18"/>
      <c r="K64" s="18"/>
      <c r="L64" s="18"/>
      <c r="M64" s="32"/>
    </row>
    <row r="65" spans="1:13" ht="24" customHeight="1" thickBot="1">
      <c r="A65" s="21">
        <v>46059</v>
      </c>
      <c r="B65" s="25" t="s">
        <v>48</v>
      </c>
      <c r="C65" s="25" t="s">
        <v>17</v>
      </c>
      <c r="D65" s="22" t="s">
        <v>34</v>
      </c>
      <c r="E65" s="23">
        <v>160545</v>
      </c>
      <c r="F65" s="20">
        <v>50</v>
      </c>
      <c r="G65" s="31">
        <v>1498</v>
      </c>
      <c r="H65" s="16">
        <v>-24381.339999999986</v>
      </c>
      <c r="I65" s="20">
        <v>29.96</v>
      </c>
      <c r="J65" s="18"/>
      <c r="K65" s="18"/>
      <c r="L65" s="18"/>
      <c r="M65" s="32"/>
    </row>
    <row r="66" spans="1:13" ht="24" customHeight="1" thickBot="1">
      <c r="A66" s="21">
        <v>46059</v>
      </c>
      <c r="B66" s="22" t="s">
        <v>60</v>
      </c>
      <c r="C66" s="22" t="s">
        <v>2</v>
      </c>
      <c r="D66" s="22" t="s">
        <v>34</v>
      </c>
      <c r="E66" s="23">
        <v>149296</v>
      </c>
      <c r="F66" s="20">
        <v>50</v>
      </c>
      <c r="G66" s="31">
        <v>1498</v>
      </c>
      <c r="H66" s="16">
        <v>-25879.339999999986</v>
      </c>
      <c r="I66" s="20">
        <v>29.96</v>
      </c>
      <c r="J66" s="18"/>
      <c r="K66" s="18"/>
      <c r="L66" s="18"/>
      <c r="M66" s="32"/>
    </row>
    <row r="67" spans="1:13" ht="24" customHeight="1" thickBot="1">
      <c r="A67" s="21">
        <v>46059</v>
      </c>
      <c r="B67" s="22" t="s">
        <v>51</v>
      </c>
      <c r="C67" s="22" t="s">
        <v>3</v>
      </c>
      <c r="D67" s="22" t="s">
        <v>35</v>
      </c>
      <c r="E67" s="23">
        <v>306479</v>
      </c>
      <c r="F67" s="20">
        <v>90</v>
      </c>
      <c r="G67" s="40">
        <v>2696.4</v>
      </c>
      <c r="H67" s="16">
        <v>-28575.739999999987</v>
      </c>
      <c r="I67" s="20">
        <v>29.96</v>
      </c>
      <c r="J67" s="18"/>
      <c r="K67" s="18"/>
      <c r="L67" s="18"/>
      <c r="M67" s="32"/>
    </row>
    <row r="68" spans="1:13" ht="24" customHeight="1" thickBot="1">
      <c r="A68" s="21">
        <v>46059</v>
      </c>
      <c r="B68" s="22" t="s">
        <v>39</v>
      </c>
      <c r="C68" s="22" t="s">
        <v>64</v>
      </c>
      <c r="D68" s="22" t="s">
        <v>34</v>
      </c>
      <c r="E68" s="41" t="s">
        <v>20</v>
      </c>
      <c r="F68" s="20">
        <v>16.688918558077436</v>
      </c>
      <c r="G68" s="31">
        <v>500</v>
      </c>
      <c r="H68" s="16">
        <v>-29075.739999999987</v>
      </c>
      <c r="I68" s="20">
        <v>29.96</v>
      </c>
      <c r="J68" s="18"/>
      <c r="K68" s="18"/>
      <c r="L68" s="18"/>
      <c r="M68" s="32"/>
    </row>
    <row r="69" spans="1:13" ht="24" customHeight="1" thickBot="1">
      <c r="A69" s="21">
        <v>46059</v>
      </c>
      <c r="B69" s="22" t="s">
        <v>52</v>
      </c>
      <c r="C69" s="22" t="s">
        <v>4</v>
      </c>
      <c r="D69" s="22" t="s">
        <v>34</v>
      </c>
      <c r="E69" s="23">
        <v>174529</v>
      </c>
      <c r="F69" s="20">
        <v>50</v>
      </c>
      <c r="G69" s="31">
        <v>1498</v>
      </c>
      <c r="H69" s="16">
        <v>-30573.739999999987</v>
      </c>
      <c r="I69" s="20">
        <v>29.96</v>
      </c>
      <c r="J69" s="18"/>
      <c r="K69" s="18"/>
      <c r="L69" s="18"/>
      <c r="M69" s="32"/>
    </row>
    <row r="70" spans="1:13" ht="24" customHeight="1" thickBot="1">
      <c r="A70" s="21">
        <v>46059</v>
      </c>
      <c r="B70" s="22" t="s">
        <v>42</v>
      </c>
      <c r="C70" s="22" t="s">
        <v>32</v>
      </c>
      <c r="D70" s="22" t="s">
        <v>34</v>
      </c>
      <c r="E70" s="23">
        <v>274891</v>
      </c>
      <c r="F70" s="20">
        <v>50</v>
      </c>
      <c r="G70" s="31">
        <v>1498</v>
      </c>
      <c r="H70" s="16">
        <v>-32071.739999999987</v>
      </c>
      <c r="I70" s="20">
        <v>29.96</v>
      </c>
      <c r="J70" s="18"/>
      <c r="K70" s="18"/>
      <c r="L70" s="18"/>
      <c r="M70" s="32"/>
    </row>
    <row r="71" spans="1:13" ht="24" customHeight="1" thickBot="1">
      <c r="A71" s="21">
        <v>46059</v>
      </c>
      <c r="B71" s="22" t="s">
        <v>53</v>
      </c>
      <c r="C71" s="22" t="s">
        <v>10</v>
      </c>
      <c r="D71" s="22" t="s">
        <v>69</v>
      </c>
      <c r="E71" s="23">
        <v>296694</v>
      </c>
      <c r="F71" s="20">
        <v>90</v>
      </c>
      <c r="G71" s="40">
        <v>2696.4</v>
      </c>
      <c r="H71" s="16">
        <v>-34768.139999999985</v>
      </c>
      <c r="I71" s="20">
        <v>29.96</v>
      </c>
      <c r="J71" s="18"/>
      <c r="K71" s="18"/>
      <c r="L71" s="18"/>
      <c r="M71" s="32"/>
    </row>
    <row r="72" spans="1:13" ht="24" customHeight="1" thickBot="1">
      <c r="A72" s="21">
        <v>46059</v>
      </c>
      <c r="B72" s="25" t="s">
        <v>41</v>
      </c>
      <c r="C72" s="25" t="s">
        <v>9</v>
      </c>
      <c r="D72" s="22" t="s">
        <v>34</v>
      </c>
      <c r="E72" s="23">
        <v>922440</v>
      </c>
      <c r="F72" s="20">
        <v>59.999999999999993</v>
      </c>
      <c r="G72" s="40">
        <v>1797.6</v>
      </c>
      <c r="H72" s="16">
        <v>-36565.739999999983</v>
      </c>
      <c r="I72" s="20">
        <v>29.96</v>
      </c>
      <c r="J72" s="18"/>
      <c r="K72" s="18"/>
      <c r="L72" s="18"/>
      <c r="M72" s="32"/>
    </row>
    <row r="73" spans="1:13" ht="24" customHeight="1" thickBot="1">
      <c r="A73" s="21">
        <v>46060</v>
      </c>
      <c r="B73" s="25" t="s">
        <v>49</v>
      </c>
      <c r="C73" s="25" t="s">
        <v>6</v>
      </c>
      <c r="D73" s="22" t="s">
        <v>35</v>
      </c>
      <c r="E73" s="23">
        <v>172139</v>
      </c>
      <c r="F73" s="20">
        <v>50</v>
      </c>
      <c r="G73" s="31">
        <v>1498</v>
      </c>
      <c r="H73" s="16">
        <v>-38063.739999999983</v>
      </c>
      <c r="I73" s="20">
        <v>29.96</v>
      </c>
      <c r="J73" s="18"/>
      <c r="K73" s="18"/>
      <c r="L73" s="18"/>
      <c r="M73" s="32"/>
    </row>
    <row r="74" spans="1:13" ht="24" customHeight="1" thickBot="1">
      <c r="A74" s="21">
        <v>46060</v>
      </c>
      <c r="B74" s="22" t="s">
        <v>59</v>
      </c>
      <c r="C74" s="22" t="s">
        <v>11</v>
      </c>
      <c r="D74" s="22" t="s">
        <v>35</v>
      </c>
      <c r="E74" s="23">
        <v>236649</v>
      </c>
      <c r="F74" s="20">
        <v>50</v>
      </c>
      <c r="G74" s="31">
        <v>1498</v>
      </c>
      <c r="H74" s="16">
        <v>-39561.739999999983</v>
      </c>
      <c r="I74" s="20">
        <v>29.96</v>
      </c>
      <c r="J74" s="18"/>
      <c r="K74" s="18"/>
      <c r="L74" s="18"/>
      <c r="M74" s="32"/>
    </row>
    <row r="75" spans="1:13" ht="24" customHeight="1" thickBot="1">
      <c r="A75" s="21">
        <v>46060</v>
      </c>
      <c r="B75" s="25" t="s">
        <v>48</v>
      </c>
      <c r="C75" s="25" t="s">
        <v>17</v>
      </c>
      <c r="D75" s="22" t="s">
        <v>35</v>
      </c>
      <c r="E75" s="23">
        <v>160682</v>
      </c>
      <c r="F75" s="20">
        <v>50</v>
      </c>
      <c r="G75" s="31">
        <v>1498</v>
      </c>
      <c r="H75" s="16">
        <v>-41059.739999999983</v>
      </c>
      <c r="I75" s="20">
        <v>29.96</v>
      </c>
      <c r="J75" s="18"/>
      <c r="K75" s="18"/>
      <c r="L75" s="18"/>
      <c r="M75" s="32"/>
    </row>
    <row r="76" spans="1:13" ht="24" hidden="1" customHeight="1" thickBot="1">
      <c r="A76" s="21">
        <v>46060</v>
      </c>
      <c r="B76" s="26" t="s">
        <v>20</v>
      </c>
      <c r="C76" s="26" t="s">
        <v>20</v>
      </c>
      <c r="D76" s="26" t="s">
        <v>20</v>
      </c>
      <c r="E76" s="27" t="s">
        <v>65</v>
      </c>
      <c r="F76" s="20"/>
      <c r="G76" s="31">
        <v>-100000</v>
      </c>
      <c r="H76" s="16">
        <v>58940.260000000017</v>
      </c>
      <c r="I76" s="20">
        <v>29.96</v>
      </c>
      <c r="J76" s="28" t="s">
        <v>117</v>
      </c>
      <c r="K76" s="18"/>
      <c r="L76" s="18"/>
      <c r="M76" s="32"/>
    </row>
    <row r="77" spans="1:13" ht="24" customHeight="1" thickBot="1">
      <c r="A77" s="21">
        <v>46060</v>
      </c>
      <c r="B77" s="22" t="s">
        <v>42</v>
      </c>
      <c r="C77" s="22" t="s">
        <v>32</v>
      </c>
      <c r="D77" s="22" t="s">
        <v>35</v>
      </c>
      <c r="E77" s="23">
        <v>274933</v>
      </c>
      <c r="F77" s="20">
        <v>50</v>
      </c>
      <c r="G77" s="31">
        <v>1498</v>
      </c>
      <c r="H77" s="16">
        <v>57442.260000000017</v>
      </c>
      <c r="I77" s="20">
        <v>29.96</v>
      </c>
      <c r="J77" s="18"/>
      <c r="K77" s="18"/>
      <c r="L77" s="18"/>
      <c r="M77" s="32"/>
    </row>
    <row r="78" spans="1:13" ht="24" customHeight="1" thickBot="1">
      <c r="A78" s="21">
        <v>46060</v>
      </c>
      <c r="B78" s="25" t="s">
        <v>41</v>
      </c>
      <c r="C78" s="25" t="s">
        <v>9</v>
      </c>
      <c r="D78" s="22" t="s">
        <v>34</v>
      </c>
      <c r="E78" s="23">
        <v>922495</v>
      </c>
      <c r="F78" s="20">
        <v>59.999999999999993</v>
      </c>
      <c r="G78" s="40">
        <v>1797.6</v>
      </c>
      <c r="H78" s="16">
        <v>55644.660000000018</v>
      </c>
      <c r="I78" s="20">
        <v>29.96</v>
      </c>
      <c r="J78" s="18"/>
      <c r="K78" s="18"/>
      <c r="L78" s="18"/>
      <c r="M78" s="32"/>
    </row>
    <row r="79" spans="1:13" ht="24" customHeight="1" thickBot="1">
      <c r="A79" s="21">
        <v>46060</v>
      </c>
      <c r="B79" s="22" t="s">
        <v>51</v>
      </c>
      <c r="C79" s="22" t="s">
        <v>3</v>
      </c>
      <c r="D79" s="22" t="s">
        <v>35</v>
      </c>
      <c r="E79" s="23">
        <v>306786</v>
      </c>
      <c r="F79" s="20">
        <v>90</v>
      </c>
      <c r="G79" s="40">
        <v>2696.4</v>
      </c>
      <c r="H79" s="16">
        <v>52948.260000000017</v>
      </c>
      <c r="I79" s="20">
        <v>29.96</v>
      </c>
      <c r="J79" s="18"/>
      <c r="K79" s="18"/>
      <c r="L79" s="18"/>
      <c r="M79" s="32"/>
    </row>
    <row r="80" spans="1:13" ht="24" customHeight="1" thickBot="1">
      <c r="A80" s="21">
        <v>46062</v>
      </c>
      <c r="B80" s="25" t="s">
        <v>49</v>
      </c>
      <c r="C80" s="25" t="s">
        <v>6</v>
      </c>
      <c r="D80" s="22" t="s">
        <v>35</v>
      </c>
      <c r="E80" s="23">
        <v>172269</v>
      </c>
      <c r="F80" s="20">
        <v>50</v>
      </c>
      <c r="G80" s="31">
        <v>1498</v>
      </c>
      <c r="H80" s="16">
        <v>51450.260000000017</v>
      </c>
      <c r="I80" s="20">
        <v>29.96</v>
      </c>
      <c r="J80" s="18"/>
      <c r="K80" s="18"/>
      <c r="L80" s="18"/>
      <c r="M80" s="32"/>
    </row>
    <row r="81" spans="1:13" ht="24" customHeight="1" thickBot="1">
      <c r="A81" s="21">
        <v>46062</v>
      </c>
      <c r="B81" s="22" t="s">
        <v>59</v>
      </c>
      <c r="C81" s="22" t="s">
        <v>11</v>
      </c>
      <c r="D81" s="22" t="s">
        <v>35</v>
      </c>
      <c r="E81" s="23">
        <v>236779</v>
      </c>
      <c r="F81" s="20">
        <v>50</v>
      </c>
      <c r="G81" s="31">
        <v>1498</v>
      </c>
      <c r="H81" s="16">
        <v>49952.260000000017</v>
      </c>
      <c r="I81" s="20">
        <v>29.96</v>
      </c>
      <c r="J81" s="18"/>
      <c r="K81" s="18"/>
      <c r="L81" s="18"/>
      <c r="M81" s="32"/>
    </row>
    <row r="82" spans="1:13" ht="24" customHeight="1" thickBot="1">
      <c r="A82" s="21">
        <v>46062</v>
      </c>
      <c r="B82" s="25" t="s">
        <v>43</v>
      </c>
      <c r="C82" s="25" t="s">
        <v>1</v>
      </c>
      <c r="D82" s="22" t="s">
        <v>36</v>
      </c>
      <c r="E82" s="23">
        <v>174497</v>
      </c>
      <c r="F82" s="20">
        <v>90</v>
      </c>
      <c r="G82" s="40">
        <v>2696.4</v>
      </c>
      <c r="H82" s="16">
        <v>47255.860000000015</v>
      </c>
      <c r="I82" s="20">
        <v>29.96</v>
      </c>
      <c r="J82" s="18"/>
      <c r="K82" s="18"/>
      <c r="L82" s="18"/>
      <c r="M82" s="32"/>
    </row>
    <row r="83" spans="1:13" ht="24" customHeight="1" thickBot="1">
      <c r="A83" s="21">
        <v>46062</v>
      </c>
      <c r="B83" s="22" t="s">
        <v>51</v>
      </c>
      <c r="C83" s="22" t="s">
        <v>3</v>
      </c>
      <c r="D83" s="22" t="s">
        <v>35</v>
      </c>
      <c r="E83" s="23">
        <v>306994</v>
      </c>
      <c r="F83" s="20">
        <v>50</v>
      </c>
      <c r="G83" s="31">
        <v>1498</v>
      </c>
      <c r="H83" s="16">
        <v>45757.860000000015</v>
      </c>
      <c r="I83" s="20">
        <v>29.96</v>
      </c>
      <c r="J83" s="18"/>
      <c r="K83" s="18"/>
      <c r="L83" s="18"/>
      <c r="M83" s="32"/>
    </row>
    <row r="84" spans="1:13" ht="24" customHeight="1" thickBot="1">
      <c r="A84" s="21">
        <v>46061</v>
      </c>
      <c r="B84" s="22" t="s">
        <v>52</v>
      </c>
      <c r="C84" s="22" t="s">
        <v>4</v>
      </c>
      <c r="D84" s="22" t="s">
        <v>35</v>
      </c>
      <c r="E84" s="23">
        <v>174672</v>
      </c>
      <c r="F84" s="20">
        <v>100</v>
      </c>
      <c r="G84" s="31">
        <v>2996</v>
      </c>
      <c r="H84" s="16">
        <v>42761.860000000015</v>
      </c>
      <c r="I84" s="20">
        <v>29.96</v>
      </c>
      <c r="J84" s="18"/>
      <c r="K84" s="18"/>
      <c r="L84" s="18"/>
      <c r="M84" s="32"/>
    </row>
    <row r="85" spans="1:13" ht="24" customHeight="1" thickBot="1">
      <c r="A85" s="21">
        <v>46062</v>
      </c>
      <c r="B85" s="22" t="s">
        <v>42</v>
      </c>
      <c r="C85" s="22" t="s">
        <v>32</v>
      </c>
      <c r="D85" s="22" t="s">
        <v>34</v>
      </c>
      <c r="E85" s="23">
        <v>275065</v>
      </c>
      <c r="F85" s="20">
        <v>50</v>
      </c>
      <c r="G85" s="31">
        <v>1498</v>
      </c>
      <c r="H85" s="16">
        <v>41263.860000000015</v>
      </c>
      <c r="I85" s="20">
        <v>29.96</v>
      </c>
      <c r="J85" s="18"/>
      <c r="K85" s="18"/>
      <c r="L85" s="18"/>
      <c r="M85" s="32"/>
    </row>
    <row r="86" spans="1:13" ht="24" customHeight="1" thickBot="1">
      <c r="A86" s="21">
        <v>46062</v>
      </c>
      <c r="B86" s="22" t="s">
        <v>63</v>
      </c>
      <c r="C86" s="25" t="s">
        <v>5</v>
      </c>
      <c r="D86" s="22" t="s">
        <v>36</v>
      </c>
      <c r="E86" s="23">
        <v>254439</v>
      </c>
      <c r="F86" s="20">
        <v>50</v>
      </c>
      <c r="G86" s="31">
        <v>1498</v>
      </c>
      <c r="H86" s="16">
        <v>39765.860000000015</v>
      </c>
      <c r="I86" s="20">
        <v>29.96</v>
      </c>
      <c r="J86" s="18"/>
      <c r="K86" s="18"/>
      <c r="L86" s="18"/>
      <c r="M86" s="32"/>
    </row>
    <row r="87" spans="1:13" ht="24" customHeight="1" thickBot="1">
      <c r="A87" s="21">
        <v>46062</v>
      </c>
      <c r="B87" s="22" t="s">
        <v>60</v>
      </c>
      <c r="C87" s="22" t="s">
        <v>2</v>
      </c>
      <c r="D87" s="22" t="s">
        <v>35</v>
      </c>
      <c r="E87" s="23">
        <v>149480</v>
      </c>
      <c r="F87" s="20">
        <v>50</v>
      </c>
      <c r="G87" s="31">
        <v>1498</v>
      </c>
      <c r="H87" s="16">
        <v>38267.860000000015</v>
      </c>
      <c r="I87" s="20">
        <v>29.96</v>
      </c>
      <c r="J87" s="18"/>
      <c r="K87" s="18"/>
      <c r="L87" s="18"/>
      <c r="M87" s="32"/>
    </row>
    <row r="88" spans="1:13" ht="24" customHeight="1" thickBot="1">
      <c r="A88" s="21">
        <v>46062</v>
      </c>
      <c r="B88" s="25" t="s">
        <v>48</v>
      </c>
      <c r="C88" s="25" t="s">
        <v>17</v>
      </c>
      <c r="D88" s="22" t="s">
        <v>36</v>
      </c>
      <c r="E88" s="23">
        <v>160812</v>
      </c>
      <c r="F88" s="20">
        <v>50</v>
      </c>
      <c r="G88" s="31">
        <v>1498</v>
      </c>
      <c r="H88" s="16">
        <v>36769.860000000015</v>
      </c>
      <c r="I88" s="20">
        <v>29.96</v>
      </c>
      <c r="J88" s="18"/>
      <c r="K88" s="18"/>
      <c r="L88" s="18"/>
      <c r="M88" s="32"/>
    </row>
    <row r="89" spans="1:13" ht="24" customHeight="1" thickBot="1">
      <c r="A89" s="21">
        <v>46062</v>
      </c>
      <c r="B89" s="22" t="s">
        <v>53</v>
      </c>
      <c r="C89" s="22" t="s">
        <v>10</v>
      </c>
      <c r="D89" s="22" t="s">
        <v>34</v>
      </c>
      <c r="E89" s="23">
        <v>297031</v>
      </c>
      <c r="F89" s="20">
        <v>50</v>
      </c>
      <c r="G89" s="31">
        <v>1498</v>
      </c>
      <c r="H89" s="16">
        <v>35271.860000000015</v>
      </c>
      <c r="I89" s="20">
        <v>29.96</v>
      </c>
      <c r="J89" s="18"/>
      <c r="K89" s="18"/>
      <c r="L89" s="18"/>
      <c r="M89" s="32"/>
    </row>
    <row r="90" spans="1:13" ht="24" customHeight="1" thickBot="1">
      <c r="A90" s="21">
        <v>46062</v>
      </c>
      <c r="B90" s="22" t="s">
        <v>45</v>
      </c>
      <c r="C90" s="22" t="s">
        <v>7</v>
      </c>
      <c r="D90" s="22" t="s">
        <v>34</v>
      </c>
      <c r="E90" s="23">
        <v>176288</v>
      </c>
      <c r="F90" s="20">
        <v>163.55140186915887</v>
      </c>
      <c r="G90" s="31">
        <v>4900</v>
      </c>
      <c r="H90" s="16">
        <v>30371.860000000015</v>
      </c>
      <c r="I90" s="20">
        <v>29.96</v>
      </c>
      <c r="J90" s="18"/>
      <c r="K90" s="18"/>
      <c r="L90" s="18"/>
      <c r="M90" s="32"/>
    </row>
    <row r="91" spans="1:13" ht="24" customHeight="1" thickBot="1">
      <c r="A91" s="21">
        <v>46062</v>
      </c>
      <c r="B91" s="22" t="s">
        <v>39</v>
      </c>
      <c r="C91" s="22" t="s">
        <v>64</v>
      </c>
      <c r="D91" s="22" t="s">
        <v>34</v>
      </c>
      <c r="E91" s="41" t="s">
        <v>20</v>
      </c>
      <c r="F91" s="20">
        <v>16.688918558077436</v>
      </c>
      <c r="G91" s="31">
        <v>500</v>
      </c>
      <c r="H91" s="16">
        <v>29871.860000000015</v>
      </c>
      <c r="I91" s="20">
        <v>29.96</v>
      </c>
      <c r="J91" s="18"/>
      <c r="K91" s="18"/>
      <c r="L91" s="18"/>
      <c r="M91" s="32"/>
    </row>
    <row r="92" spans="1:13" ht="24" customHeight="1" thickBot="1">
      <c r="A92" s="21">
        <v>46062</v>
      </c>
      <c r="B92" s="22" t="s">
        <v>52</v>
      </c>
      <c r="C92" s="22" t="s">
        <v>4</v>
      </c>
      <c r="D92" s="22" t="s">
        <v>37</v>
      </c>
      <c r="E92" s="23">
        <v>174997</v>
      </c>
      <c r="F92" s="20">
        <v>60.000000000000007</v>
      </c>
      <c r="G92" s="40">
        <v>1802.4</v>
      </c>
      <c r="H92" s="16">
        <v>28069.460000000014</v>
      </c>
      <c r="I92" s="20">
        <v>30.04</v>
      </c>
      <c r="J92" s="18"/>
      <c r="K92" s="18"/>
      <c r="L92" s="18"/>
      <c r="M92" s="32"/>
    </row>
    <row r="93" spans="1:13" ht="24" customHeight="1" thickBot="1">
      <c r="A93" s="21">
        <v>46062</v>
      </c>
      <c r="B93" s="22" t="s">
        <v>55</v>
      </c>
      <c r="C93" s="22" t="s">
        <v>15</v>
      </c>
      <c r="D93" s="22" t="s">
        <v>35</v>
      </c>
      <c r="E93" s="23">
        <v>281603</v>
      </c>
      <c r="F93" s="20">
        <v>50</v>
      </c>
      <c r="G93" s="31">
        <v>1498</v>
      </c>
      <c r="H93" s="16">
        <v>26571.460000000014</v>
      </c>
      <c r="I93" s="20">
        <v>29.96</v>
      </c>
      <c r="J93" s="18"/>
      <c r="K93" s="18"/>
      <c r="L93" s="18"/>
      <c r="M93" s="32"/>
    </row>
    <row r="94" spans="1:13" ht="24" customHeight="1" thickBot="1">
      <c r="A94" s="21">
        <v>46063</v>
      </c>
      <c r="B94" s="22" t="s">
        <v>55</v>
      </c>
      <c r="C94" s="22" t="s">
        <v>15</v>
      </c>
      <c r="D94" s="22" t="s">
        <v>34</v>
      </c>
      <c r="E94" s="23">
        <v>281736</v>
      </c>
      <c r="F94" s="20">
        <v>50</v>
      </c>
      <c r="G94" s="31">
        <v>1498</v>
      </c>
      <c r="H94" s="16">
        <v>25073.460000000014</v>
      </c>
      <c r="I94" s="20">
        <v>29.96</v>
      </c>
      <c r="J94" s="18"/>
      <c r="K94" s="18"/>
      <c r="L94" s="18"/>
      <c r="M94" s="32"/>
    </row>
    <row r="95" spans="1:13" ht="24" customHeight="1" thickBot="1">
      <c r="A95" s="21">
        <v>46063</v>
      </c>
      <c r="B95" s="25" t="s">
        <v>49</v>
      </c>
      <c r="C95" s="25" t="s">
        <v>6</v>
      </c>
      <c r="D95" s="22" t="s">
        <v>35</v>
      </c>
      <c r="E95" s="23">
        <v>172402</v>
      </c>
      <c r="F95" s="20">
        <v>50</v>
      </c>
      <c r="G95" s="31">
        <v>1498</v>
      </c>
      <c r="H95" s="16">
        <v>23575.460000000014</v>
      </c>
      <c r="I95" s="20">
        <v>29.96</v>
      </c>
      <c r="J95" s="18"/>
      <c r="K95" s="18"/>
      <c r="L95" s="18"/>
      <c r="M95" s="32"/>
    </row>
    <row r="96" spans="1:13" ht="24" customHeight="1" thickBot="1">
      <c r="A96" s="21">
        <v>46063</v>
      </c>
      <c r="B96" s="25" t="s">
        <v>43</v>
      </c>
      <c r="C96" s="25" t="s">
        <v>1</v>
      </c>
      <c r="D96" s="22" t="s">
        <v>36</v>
      </c>
      <c r="E96" s="23">
        <v>174790</v>
      </c>
      <c r="F96" s="20">
        <v>90</v>
      </c>
      <c r="G96" s="40">
        <v>2696.4</v>
      </c>
      <c r="H96" s="16">
        <v>20879.060000000012</v>
      </c>
      <c r="I96" s="20">
        <v>29.96</v>
      </c>
      <c r="J96" s="18"/>
      <c r="K96" s="18"/>
      <c r="L96" s="18"/>
      <c r="M96" s="32"/>
    </row>
    <row r="97" spans="1:13" ht="24" customHeight="1" thickBot="1">
      <c r="A97" s="21">
        <v>46063</v>
      </c>
      <c r="B97" s="22" t="s">
        <v>56</v>
      </c>
      <c r="C97" s="22" t="s">
        <v>62</v>
      </c>
      <c r="D97" s="22" t="s">
        <v>36</v>
      </c>
      <c r="E97" s="23">
        <v>296218</v>
      </c>
      <c r="F97" s="20">
        <v>158.99866488651537</v>
      </c>
      <c r="G97" s="31">
        <v>4763.6000000000004</v>
      </c>
      <c r="H97" s="16">
        <v>16115.460000000012</v>
      </c>
      <c r="I97" s="20">
        <v>29.96</v>
      </c>
      <c r="J97" s="18"/>
      <c r="K97" s="18"/>
      <c r="L97" s="18"/>
      <c r="M97" s="32"/>
    </row>
    <row r="98" spans="1:13" ht="24" customHeight="1" thickBot="1">
      <c r="A98" s="21">
        <v>46063</v>
      </c>
      <c r="B98" s="22" t="s">
        <v>54</v>
      </c>
      <c r="C98" s="22" t="s">
        <v>16</v>
      </c>
      <c r="D98" s="22" t="s">
        <v>34</v>
      </c>
      <c r="E98" s="23">
        <v>236732</v>
      </c>
      <c r="F98" s="20">
        <v>50</v>
      </c>
      <c r="G98" s="31">
        <v>1498</v>
      </c>
      <c r="H98" s="16">
        <v>14617.460000000012</v>
      </c>
      <c r="I98" s="20">
        <v>29.96</v>
      </c>
      <c r="J98" s="18"/>
      <c r="K98" s="18"/>
      <c r="L98" s="18"/>
      <c r="M98" s="32"/>
    </row>
    <row r="99" spans="1:13" ht="24" customHeight="1" thickBot="1">
      <c r="A99" s="21">
        <v>46063</v>
      </c>
      <c r="B99" s="22" t="s">
        <v>60</v>
      </c>
      <c r="C99" s="22" t="s">
        <v>2</v>
      </c>
      <c r="D99" s="22" t="s">
        <v>35</v>
      </c>
      <c r="E99" s="23">
        <v>149734</v>
      </c>
      <c r="F99" s="20">
        <v>90</v>
      </c>
      <c r="G99" s="40">
        <v>2696.4</v>
      </c>
      <c r="H99" s="16">
        <v>11921.060000000012</v>
      </c>
      <c r="I99" s="20">
        <v>29.96</v>
      </c>
      <c r="J99" s="18"/>
      <c r="K99" s="18"/>
      <c r="L99" s="18"/>
      <c r="M99" s="32"/>
    </row>
    <row r="100" spans="1:13" s="34" customFormat="1" ht="24" customHeight="1" thickBot="1">
      <c r="A100" s="33">
        <v>46063</v>
      </c>
      <c r="B100" s="34" t="s">
        <v>41</v>
      </c>
      <c r="C100" s="34" t="s">
        <v>9</v>
      </c>
      <c r="D100" s="34" t="s">
        <v>34</v>
      </c>
      <c r="E100" s="35" t="s">
        <v>20</v>
      </c>
      <c r="F100" s="20">
        <v>59.999999999999993</v>
      </c>
      <c r="G100" s="36">
        <v>1797.6</v>
      </c>
      <c r="H100" s="16">
        <v>10123.460000000012</v>
      </c>
      <c r="I100" s="37">
        <v>29.96</v>
      </c>
      <c r="J100" s="38"/>
      <c r="K100" s="38" t="s">
        <v>71</v>
      </c>
      <c r="L100" s="38"/>
      <c r="M100" s="39"/>
    </row>
    <row r="101" spans="1:13" ht="24" customHeight="1" thickBot="1">
      <c r="A101" s="21">
        <v>46063</v>
      </c>
      <c r="B101" s="22" t="s">
        <v>53</v>
      </c>
      <c r="C101" s="22" t="s">
        <v>10</v>
      </c>
      <c r="D101" s="22" t="s">
        <v>34</v>
      </c>
      <c r="E101" s="23">
        <v>297211</v>
      </c>
      <c r="F101" s="20">
        <v>50</v>
      </c>
      <c r="G101" s="31">
        <v>1498</v>
      </c>
      <c r="H101" s="16">
        <v>8625.4600000000119</v>
      </c>
      <c r="I101" s="20">
        <v>29.96</v>
      </c>
      <c r="J101" s="18"/>
      <c r="K101" s="18"/>
      <c r="L101" s="18"/>
      <c r="M101" s="32"/>
    </row>
    <row r="102" spans="1:13" ht="24" customHeight="1" thickBot="1">
      <c r="A102" s="21">
        <v>46063</v>
      </c>
      <c r="B102" s="25" t="s">
        <v>48</v>
      </c>
      <c r="C102" s="25" t="s">
        <v>17</v>
      </c>
      <c r="D102" s="22" t="s">
        <v>36</v>
      </c>
      <c r="E102" s="23">
        <v>160956</v>
      </c>
      <c r="F102" s="20">
        <v>50</v>
      </c>
      <c r="G102" s="31">
        <v>1498</v>
      </c>
      <c r="H102" s="16">
        <v>7127.4600000000119</v>
      </c>
      <c r="I102" s="20">
        <v>29.96</v>
      </c>
      <c r="J102" s="18"/>
      <c r="K102" s="18"/>
      <c r="L102" s="18"/>
      <c r="M102" s="32"/>
    </row>
    <row r="103" spans="1:13" ht="24" customHeight="1" thickBot="1">
      <c r="A103" s="21">
        <v>46063</v>
      </c>
      <c r="B103" s="22" t="s">
        <v>61</v>
      </c>
      <c r="C103" s="25" t="s">
        <v>47</v>
      </c>
      <c r="D103" s="22" t="s">
        <v>34</v>
      </c>
      <c r="E103" s="30">
        <v>828354</v>
      </c>
      <c r="F103" s="20">
        <v>59.999999999999993</v>
      </c>
      <c r="G103" s="40">
        <v>1797.6</v>
      </c>
      <c r="H103" s="16">
        <v>5329.8600000000115</v>
      </c>
      <c r="I103" s="20">
        <v>29.96</v>
      </c>
      <c r="J103" s="18"/>
      <c r="K103" s="18"/>
      <c r="L103" s="18"/>
      <c r="M103" s="32"/>
    </row>
    <row r="104" spans="1:13" ht="24" customHeight="1" thickBot="1">
      <c r="A104" s="21">
        <v>46063</v>
      </c>
      <c r="B104" s="22" t="s">
        <v>42</v>
      </c>
      <c r="C104" s="22" t="s">
        <v>32</v>
      </c>
      <c r="D104" s="22" t="s">
        <v>35</v>
      </c>
      <c r="E104" s="23">
        <v>275247</v>
      </c>
      <c r="F104" s="20">
        <v>50</v>
      </c>
      <c r="G104" s="31">
        <v>1498</v>
      </c>
      <c r="H104" s="16">
        <v>3831.8600000000115</v>
      </c>
      <c r="I104" s="20">
        <v>29.96</v>
      </c>
      <c r="J104" s="18"/>
      <c r="K104" s="18"/>
      <c r="L104" s="18"/>
      <c r="M104" s="32"/>
    </row>
    <row r="105" spans="1:13" ht="24" customHeight="1" thickBot="1">
      <c r="A105" s="21">
        <v>46063</v>
      </c>
      <c r="B105" s="22" t="s">
        <v>63</v>
      </c>
      <c r="C105" s="22" t="s">
        <v>12</v>
      </c>
      <c r="D105" s="22" t="s">
        <v>34</v>
      </c>
      <c r="E105" s="23">
        <v>254616</v>
      </c>
      <c r="F105" s="20">
        <v>50</v>
      </c>
      <c r="G105" s="31">
        <v>1498</v>
      </c>
      <c r="H105" s="16">
        <v>2333.8600000000115</v>
      </c>
      <c r="I105" s="20">
        <v>29.96</v>
      </c>
      <c r="J105" s="18"/>
      <c r="K105" s="18"/>
      <c r="L105" s="18"/>
      <c r="M105" s="32"/>
    </row>
    <row r="106" spans="1:13" ht="24" customHeight="1" thickBot="1">
      <c r="A106" s="21">
        <v>46064</v>
      </c>
      <c r="B106" s="22" t="s">
        <v>42</v>
      </c>
      <c r="C106" s="22" t="s">
        <v>32</v>
      </c>
      <c r="D106" s="22" t="s">
        <v>35</v>
      </c>
      <c r="E106" s="30">
        <v>275372</v>
      </c>
      <c r="F106" s="20">
        <v>50</v>
      </c>
      <c r="G106" s="31">
        <v>1498</v>
      </c>
      <c r="H106" s="16">
        <v>835.8600000000115</v>
      </c>
      <c r="I106" s="20">
        <v>29.96</v>
      </c>
      <c r="J106" s="18"/>
      <c r="K106" s="18"/>
      <c r="L106" s="18"/>
      <c r="M106" s="32"/>
    </row>
    <row r="107" spans="1:13" ht="24" customHeight="1" thickBot="1">
      <c r="A107" s="21">
        <v>46064</v>
      </c>
      <c r="B107" s="22" t="s">
        <v>53</v>
      </c>
      <c r="C107" s="22" t="s">
        <v>10</v>
      </c>
      <c r="D107" s="22" t="s">
        <v>34</v>
      </c>
      <c r="E107" s="30">
        <v>297348</v>
      </c>
      <c r="F107" s="20">
        <v>50</v>
      </c>
      <c r="G107" s="31">
        <v>1498</v>
      </c>
      <c r="H107" s="16">
        <v>-662.1399999999885</v>
      </c>
      <c r="I107" s="20">
        <v>29.96</v>
      </c>
      <c r="J107" s="18"/>
      <c r="K107" s="18"/>
      <c r="L107" s="18"/>
      <c r="M107" s="32"/>
    </row>
    <row r="108" spans="1:13" ht="24" customHeight="1" thickBot="1">
      <c r="A108" s="21">
        <v>46064</v>
      </c>
      <c r="B108" s="22" t="s">
        <v>55</v>
      </c>
      <c r="C108" s="22" t="s">
        <v>15</v>
      </c>
      <c r="D108" s="22" t="s">
        <v>34</v>
      </c>
      <c r="E108" s="23">
        <v>281886</v>
      </c>
      <c r="F108" s="20">
        <v>50</v>
      </c>
      <c r="G108" s="31">
        <v>1498</v>
      </c>
      <c r="H108" s="16">
        <v>-2160.1399999999885</v>
      </c>
      <c r="I108" s="20">
        <v>29.96</v>
      </c>
      <c r="J108" s="18"/>
      <c r="K108" s="18"/>
      <c r="L108" s="18"/>
      <c r="M108" s="32"/>
    </row>
    <row r="109" spans="1:13" ht="24" customHeight="1" thickBot="1">
      <c r="A109" s="21">
        <v>46064</v>
      </c>
      <c r="B109" s="22" t="s">
        <v>58</v>
      </c>
      <c r="C109" s="76" t="s">
        <v>114</v>
      </c>
      <c r="D109" s="22" t="s">
        <v>35</v>
      </c>
      <c r="E109" s="23">
        <v>199226</v>
      </c>
      <c r="F109" s="20">
        <v>156.00133511348466</v>
      </c>
      <c r="G109" s="31">
        <v>4673.8</v>
      </c>
      <c r="H109" s="16">
        <v>-6833.9399999999887</v>
      </c>
      <c r="I109" s="20">
        <v>29.96</v>
      </c>
      <c r="J109" s="18"/>
      <c r="K109" s="18"/>
      <c r="L109" s="18"/>
      <c r="M109" s="32"/>
    </row>
    <row r="110" spans="1:13" ht="24" customHeight="1" thickBot="1">
      <c r="A110" s="21">
        <v>46064</v>
      </c>
      <c r="B110" s="22" t="s">
        <v>63</v>
      </c>
      <c r="C110" s="22" t="s">
        <v>12</v>
      </c>
      <c r="D110" s="22" t="s">
        <v>35</v>
      </c>
      <c r="E110" s="23">
        <v>254764</v>
      </c>
      <c r="F110" s="20">
        <v>50</v>
      </c>
      <c r="G110" s="31">
        <v>1498</v>
      </c>
      <c r="H110" s="16">
        <v>-8331.9399999999878</v>
      </c>
      <c r="I110" s="20">
        <v>29.96</v>
      </c>
      <c r="J110" s="18"/>
      <c r="K110" s="18"/>
      <c r="L110" s="18"/>
      <c r="M110" s="32"/>
    </row>
    <row r="111" spans="1:13" ht="24" customHeight="1" thickBot="1">
      <c r="A111" s="21">
        <v>46064</v>
      </c>
      <c r="B111" s="25" t="s">
        <v>43</v>
      </c>
      <c r="C111" s="25" t="s">
        <v>1</v>
      </c>
      <c r="D111" s="22" t="s">
        <v>36</v>
      </c>
      <c r="E111" s="30">
        <v>175083</v>
      </c>
      <c r="F111" s="20">
        <v>90</v>
      </c>
      <c r="G111" s="40">
        <v>2696.4</v>
      </c>
      <c r="H111" s="16">
        <v>-11028.339999999987</v>
      </c>
      <c r="I111" s="20">
        <v>29.96</v>
      </c>
      <c r="J111" s="18"/>
      <c r="K111" s="18"/>
      <c r="L111" s="18"/>
      <c r="M111" s="32"/>
    </row>
    <row r="112" spans="1:13" ht="24" customHeight="1" thickBot="1">
      <c r="A112" s="21">
        <v>46063</v>
      </c>
      <c r="B112" s="22" t="s">
        <v>52</v>
      </c>
      <c r="C112" s="22" t="s">
        <v>4</v>
      </c>
      <c r="D112" s="22" t="s">
        <v>37</v>
      </c>
      <c r="E112" s="30">
        <v>175232</v>
      </c>
      <c r="F112" s="20">
        <v>60.000000000000007</v>
      </c>
      <c r="G112" s="40">
        <v>1802.4</v>
      </c>
      <c r="H112" s="16">
        <v>-12830.739999999987</v>
      </c>
      <c r="I112" s="20">
        <v>30.04</v>
      </c>
      <c r="J112" s="18"/>
      <c r="K112" s="18"/>
      <c r="L112" s="18"/>
      <c r="M112" s="32"/>
    </row>
    <row r="113" spans="1:13" ht="24" customHeight="1" thickBot="1">
      <c r="A113" s="21">
        <v>46063</v>
      </c>
      <c r="B113" s="22" t="s">
        <v>59</v>
      </c>
      <c r="C113" s="22" t="s">
        <v>11</v>
      </c>
      <c r="D113" s="22" t="s">
        <v>36</v>
      </c>
      <c r="E113" s="27"/>
      <c r="F113" s="20">
        <v>50</v>
      </c>
      <c r="G113" s="40">
        <v>1498</v>
      </c>
      <c r="H113" s="16">
        <v>-14328.739999999987</v>
      </c>
      <c r="I113" s="20">
        <v>29.96</v>
      </c>
      <c r="J113" s="18"/>
      <c r="K113" s="18"/>
      <c r="L113" s="18"/>
      <c r="M113" s="32"/>
    </row>
    <row r="114" spans="1:13" ht="24" customHeight="1" thickBot="1">
      <c r="A114" s="21">
        <v>46063</v>
      </c>
      <c r="B114" s="22" t="s">
        <v>51</v>
      </c>
      <c r="C114" s="22" t="s">
        <v>3</v>
      </c>
      <c r="D114" s="22" t="s">
        <v>35</v>
      </c>
      <c r="E114" s="30">
        <v>307247</v>
      </c>
      <c r="F114" s="20">
        <v>90</v>
      </c>
      <c r="G114" s="40">
        <v>2696.4</v>
      </c>
      <c r="H114" s="16">
        <v>-17025.139999999989</v>
      </c>
      <c r="I114" s="20">
        <v>29.96</v>
      </c>
      <c r="J114" s="18"/>
      <c r="K114" s="18"/>
      <c r="L114" s="18"/>
      <c r="M114" s="32"/>
    </row>
    <row r="115" spans="1:13" ht="24" customHeight="1" thickBot="1">
      <c r="A115" s="21">
        <v>46064</v>
      </c>
      <c r="B115" s="25" t="s">
        <v>49</v>
      </c>
      <c r="C115" s="25" t="s">
        <v>6</v>
      </c>
      <c r="D115" s="22" t="s">
        <v>35</v>
      </c>
      <c r="E115" s="23">
        <v>172523</v>
      </c>
      <c r="F115" s="20">
        <v>50</v>
      </c>
      <c r="G115" s="40">
        <v>1498</v>
      </c>
      <c r="H115" s="16">
        <v>-18523.139999999989</v>
      </c>
      <c r="I115" s="20">
        <v>29.96</v>
      </c>
      <c r="J115" s="18"/>
      <c r="K115" s="18"/>
      <c r="L115" s="18"/>
      <c r="M115" s="32"/>
    </row>
    <row r="116" spans="1:13" ht="24" customHeight="1" thickBot="1">
      <c r="A116" s="21">
        <v>46064</v>
      </c>
      <c r="B116" s="22" t="s">
        <v>39</v>
      </c>
      <c r="C116" s="22" t="s">
        <v>64</v>
      </c>
      <c r="D116" s="22" t="s">
        <v>34</v>
      </c>
      <c r="E116" s="41" t="s">
        <v>20</v>
      </c>
      <c r="F116" s="20">
        <v>16.688918558077436</v>
      </c>
      <c r="G116" s="40">
        <v>500</v>
      </c>
      <c r="H116" s="16">
        <v>-19023.139999999989</v>
      </c>
      <c r="I116" s="20">
        <v>29.96</v>
      </c>
      <c r="J116" s="18"/>
      <c r="K116" s="18"/>
      <c r="L116" s="18"/>
      <c r="M116" s="32"/>
    </row>
    <row r="117" spans="1:13" ht="24" customHeight="1" thickBot="1">
      <c r="A117" s="21">
        <v>46064</v>
      </c>
      <c r="B117" s="22" t="s">
        <v>54</v>
      </c>
      <c r="C117" s="22" t="s">
        <v>16</v>
      </c>
      <c r="D117" s="22" t="s">
        <v>35</v>
      </c>
      <c r="E117" s="23">
        <v>236852</v>
      </c>
      <c r="F117" s="20">
        <v>50</v>
      </c>
      <c r="G117" s="40">
        <v>1498</v>
      </c>
      <c r="H117" s="16">
        <v>-20521.139999999989</v>
      </c>
      <c r="I117" s="20">
        <v>29.96</v>
      </c>
      <c r="J117" s="18"/>
      <c r="K117" s="18"/>
      <c r="L117" s="18"/>
      <c r="M117" s="32"/>
    </row>
    <row r="118" spans="1:13" ht="24" customHeight="1" thickBot="1">
      <c r="A118" s="21">
        <v>46064</v>
      </c>
      <c r="B118" s="22" t="s">
        <v>60</v>
      </c>
      <c r="C118" s="22" t="s">
        <v>2</v>
      </c>
      <c r="D118" s="22" t="s">
        <v>35</v>
      </c>
      <c r="E118" s="23">
        <v>150039</v>
      </c>
      <c r="F118" s="20">
        <v>90</v>
      </c>
      <c r="G118" s="40">
        <v>2696.4</v>
      </c>
      <c r="H118" s="16">
        <v>-23217.53999999999</v>
      </c>
      <c r="I118" s="20">
        <v>29.96</v>
      </c>
      <c r="J118" s="18"/>
      <c r="K118" s="18"/>
      <c r="L118" s="18"/>
      <c r="M118" s="32"/>
    </row>
    <row r="119" spans="1:13" ht="24" customHeight="1" thickBot="1">
      <c r="A119" s="21">
        <v>46064</v>
      </c>
      <c r="B119" s="25" t="s">
        <v>48</v>
      </c>
      <c r="C119" s="25" t="s">
        <v>17</v>
      </c>
      <c r="D119" s="22" t="s">
        <v>35</v>
      </c>
      <c r="E119" s="23">
        <v>161056</v>
      </c>
      <c r="F119" s="20">
        <v>50</v>
      </c>
      <c r="G119" s="40">
        <v>1498</v>
      </c>
      <c r="H119" s="16">
        <v>-24715.53999999999</v>
      </c>
      <c r="I119" s="20">
        <v>29.96</v>
      </c>
      <c r="J119" s="18"/>
      <c r="K119" s="18"/>
      <c r="L119" s="18"/>
      <c r="M119" s="32"/>
    </row>
    <row r="120" spans="1:13" ht="24" customHeight="1" thickBot="1">
      <c r="A120" s="21">
        <v>46064</v>
      </c>
      <c r="B120" s="22" t="s">
        <v>51</v>
      </c>
      <c r="C120" s="22" t="s">
        <v>3</v>
      </c>
      <c r="D120" s="22" t="s">
        <v>35</v>
      </c>
      <c r="E120" s="23">
        <v>307554</v>
      </c>
      <c r="F120" s="20">
        <v>90</v>
      </c>
      <c r="G120" s="40">
        <v>2696.4</v>
      </c>
      <c r="H120" s="16">
        <v>-27411.939999999991</v>
      </c>
      <c r="I120" s="20">
        <v>29.96</v>
      </c>
      <c r="J120" s="18"/>
      <c r="K120" s="18"/>
      <c r="L120" s="18"/>
      <c r="M120" s="32"/>
    </row>
    <row r="121" spans="1:13" ht="24" customHeight="1" thickBot="1">
      <c r="A121" s="21">
        <v>46064</v>
      </c>
      <c r="B121" s="25" t="s">
        <v>41</v>
      </c>
      <c r="C121" s="25" t="s">
        <v>9</v>
      </c>
      <c r="D121" s="22" t="s">
        <v>36</v>
      </c>
      <c r="E121" s="23">
        <v>922821</v>
      </c>
      <c r="F121" s="20">
        <v>59.999999999999993</v>
      </c>
      <c r="G121" s="40">
        <v>1797.6</v>
      </c>
      <c r="H121" s="16">
        <v>-29209.53999999999</v>
      </c>
      <c r="I121" s="20">
        <v>29.96</v>
      </c>
      <c r="J121" s="18"/>
      <c r="K121" s="18"/>
      <c r="L121" s="18"/>
      <c r="M121" s="32"/>
    </row>
    <row r="122" spans="1:13" ht="24" customHeight="1" thickBot="1">
      <c r="A122" s="21">
        <v>46064</v>
      </c>
      <c r="B122" s="25" t="s">
        <v>48</v>
      </c>
      <c r="C122" s="25" t="s">
        <v>17</v>
      </c>
      <c r="D122" s="22" t="s">
        <v>34</v>
      </c>
      <c r="E122" s="23">
        <v>161209</v>
      </c>
      <c r="F122" s="20">
        <v>50</v>
      </c>
      <c r="G122" s="40">
        <v>1498</v>
      </c>
      <c r="H122" s="16">
        <v>-30707.53999999999</v>
      </c>
      <c r="I122" s="20">
        <v>29.96</v>
      </c>
      <c r="J122" s="18"/>
      <c r="K122" s="18"/>
      <c r="L122" s="18"/>
      <c r="M122" s="32"/>
    </row>
    <row r="123" spans="1:13" ht="24" hidden="1" customHeight="1" thickBot="1">
      <c r="A123" s="21">
        <v>46065</v>
      </c>
      <c r="B123" s="26" t="s">
        <v>20</v>
      </c>
      <c r="C123" s="26" t="s">
        <v>20</v>
      </c>
      <c r="D123" s="26" t="s">
        <v>34</v>
      </c>
      <c r="E123" s="27" t="s">
        <v>65</v>
      </c>
      <c r="F123" s="20"/>
      <c r="G123" s="31">
        <v>-70000</v>
      </c>
      <c r="H123" s="16">
        <v>39292.460000000006</v>
      </c>
      <c r="I123" s="20">
        <v>29.96</v>
      </c>
      <c r="J123" s="28" t="s">
        <v>118</v>
      </c>
      <c r="K123" s="18"/>
      <c r="L123" s="18"/>
      <c r="M123" s="32"/>
    </row>
    <row r="124" spans="1:13" ht="24" customHeight="1" thickBot="1">
      <c r="A124" s="21">
        <v>46065</v>
      </c>
      <c r="B124" s="25" t="s">
        <v>50</v>
      </c>
      <c r="C124" s="25" t="s">
        <v>5</v>
      </c>
      <c r="D124" s="22" t="s">
        <v>35</v>
      </c>
      <c r="E124" s="30">
        <v>196951</v>
      </c>
      <c r="F124" s="20">
        <f t="shared" ref="F124:F187" si="0">G124/I124</f>
        <v>50</v>
      </c>
      <c r="G124" s="31">
        <v>1498</v>
      </c>
      <c r="H124" s="16">
        <f t="shared" ref="H124:H187" si="1">H123-G124</f>
        <v>37794.460000000006</v>
      </c>
      <c r="I124" s="20">
        <v>29.96</v>
      </c>
      <c r="J124" s="18"/>
      <c r="K124" s="18"/>
      <c r="L124" s="18"/>
      <c r="M124" s="32"/>
    </row>
    <row r="125" spans="1:13" ht="24" customHeight="1" thickBot="1">
      <c r="A125" s="21">
        <v>46065</v>
      </c>
      <c r="B125" s="25" t="s">
        <v>43</v>
      </c>
      <c r="C125" s="25" t="s">
        <v>1</v>
      </c>
      <c r="D125" s="22" t="s">
        <v>36</v>
      </c>
      <c r="E125" s="23">
        <v>175401</v>
      </c>
      <c r="F125" s="20">
        <f t="shared" si="0"/>
        <v>50</v>
      </c>
      <c r="G125" s="31">
        <v>1498</v>
      </c>
      <c r="H125" s="16">
        <f t="shared" si="1"/>
        <v>36296.460000000006</v>
      </c>
      <c r="I125" s="20">
        <v>29.96</v>
      </c>
      <c r="J125" s="18"/>
      <c r="K125" s="18"/>
      <c r="L125" s="18"/>
      <c r="M125" s="32"/>
    </row>
    <row r="126" spans="1:13" ht="24" customHeight="1" thickBot="1">
      <c r="A126" s="21">
        <v>46065</v>
      </c>
      <c r="B126" s="22" t="s">
        <v>51</v>
      </c>
      <c r="C126" s="22" t="s">
        <v>3</v>
      </c>
      <c r="D126" s="22" t="s">
        <v>35</v>
      </c>
      <c r="E126" s="23">
        <v>307862</v>
      </c>
      <c r="F126" s="20">
        <f t="shared" si="0"/>
        <v>90</v>
      </c>
      <c r="G126" s="40">
        <v>2696.4</v>
      </c>
      <c r="H126" s="16">
        <f t="shared" si="1"/>
        <v>33600.060000000005</v>
      </c>
      <c r="I126" s="20">
        <v>29.96</v>
      </c>
      <c r="J126" s="18"/>
      <c r="K126" s="18"/>
      <c r="L126" s="18"/>
      <c r="M126" s="32"/>
    </row>
    <row r="127" spans="1:13" ht="24" customHeight="1" thickBot="1">
      <c r="A127" s="21">
        <v>46065</v>
      </c>
      <c r="B127" s="22" t="s">
        <v>55</v>
      </c>
      <c r="C127" s="22" t="s">
        <v>15</v>
      </c>
      <c r="D127" s="22" t="s">
        <v>34</v>
      </c>
      <c r="E127" s="23">
        <v>282046</v>
      </c>
      <c r="F127" s="20">
        <f t="shared" si="0"/>
        <v>50</v>
      </c>
      <c r="G127" s="31">
        <v>1498</v>
      </c>
      <c r="H127" s="16">
        <f t="shared" si="1"/>
        <v>32102.060000000005</v>
      </c>
      <c r="I127" s="20">
        <v>29.96</v>
      </c>
      <c r="J127" s="18"/>
      <c r="K127" s="18"/>
      <c r="L127" s="18"/>
      <c r="M127" s="32"/>
    </row>
    <row r="128" spans="1:13" ht="24" customHeight="1" thickBot="1">
      <c r="A128" s="21">
        <v>46065</v>
      </c>
      <c r="B128" s="22" t="s">
        <v>54</v>
      </c>
      <c r="C128" s="22" t="s">
        <v>16</v>
      </c>
      <c r="D128" s="22" t="s">
        <v>36</v>
      </c>
      <c r="E128" s="23">
        <v>236971</v>
      </c>
      <c r="F128" s="20">
        <f t="shared" si="0"/>
        <v>50</v>
      </c>
      <c r="G128" s="31">
        <v>1498</v>
      </c>
      <c r="H128" s="16">
        <f t="shared" si="1"/>
        <v>30604.060000000005</v>
      </c>
      <c r="I128" s="20">
        <v>29.96</v>
      </c>
      <c r="J128" s="18"/>
      <c r="K128" s="18"/>
      <c r="L128" s="18"/>
      <c r="M128" s="32"/>
    </row>
    <row r="129" spans="1:13" ht="24" customHeight="1" thickBot="1">
      <c r="A129" s="21">
        <v>46065</v>
      </c>
      <c r="B129" s="22" t="s">
        <v>53</v>
      </c>
      <c r="C129" s="22" t="s">
        <v>10</v>
      </c>
      <c r="D129" s="22" t="s">
        <v>34</v>
      </c>
      <c r="E129" s="23">
        <v>297503</v>
      </c>
      <c r="F129" s="20">
        <f t="shared" si="0"/>
        <v>50</v>
      </c>
      <c r="G129" s="31">
        <v>1498</v>
      </c>
      <c r="H129" s="16">
        <f t="shared" si="1"/>
        <v>29106.060000000005</v>
      </c>
      <c r="I129" s="20">
        <v>29.96</v>
      </c>
      <c r="J129" s="18"/>
      <c r="K129" s="18"/>
      <c r="L129" s="18"/>
      <c r="M129" s="32"/>
    </row>
    <row r="130" spans="1:13" ht="24" customHeight="1" thickBot="1">
      <c r="A130" s="21">
        <v>46065</v>
      </c>
      <c r="B130" s="22" t="s">
        <v>39</v>
      </c>
      <c r="C130" s="22" t="s">
        <v>64</v>
      </c>
      <c r="D130" s="22" t="s">
        <v>34</v>
      </c>
      <c r="E130" s="42" t="s">
        <v>20</v>
      </c>
      <c r="F130" s="20">
        <f>G130/I130</f>
        <v>16.688918558077436</v>
      </c>
      <c r="G130" s="40">
        <v>500</v>
      </c>
      <c r="H130" s="16">
        <f t="shared" si="1"/>
        <v>28606.060000000005</v>
      </c>
      <c r="I130" s="20">
        <v>29.96</v>
      </c>
      <c r="J130" s="18"/>
      <c r="K130" s="18"/>
      <c r="L130" s="18"/>
      <c r="M130" s="32"/>
    </row>
    <row r="131" spans="1:13" s="34" customFormat="1" ht="24" customHeight="1" thickBot="1">
      <c r="A131" s="33">
        <v>46065</v>
      </c>
      <c r="B131" s="34" t="s">
        <v>39</v>
      </c>
      <c r="C131" s="34" t="s">
        <v>64</v>
      </c>
      <c r="D131" s="34" t="s">
        <v>34</v>
      </c>
      <c r="E131" s="35" t="s">
        <v>20</v>
      </c>
      <c r="F131" s="20"/>
      <c r="G131" s="36">
        <v>180</v>
      </c>
      <c r="H131" s="16">
        <f t="shared" si="1"/>
        <v>28426.060000000005</v>
      </c>
      <c r="I131" s="37"/>
      <c r="J131" s="38"/>
      <c r="K131" s="38" t="s">
        <v>119</v>
      </c>
      <c r="L131" s="38"/>
      <c r="M131" s="39"/>
    </row>
    <row r="132" spans="1:13" ht="24" customHeight="1" thickBot="1">
      <c r="A132" s="21">
        <v>46065</v>
      </c>
      <c r="B132" s="22" t="s">
        <v>42</v>
      </c>
      <c r="C132" s="22" t="s">
        <v>32</v>
      </c>
      <c r="D132" s="22" t="s">
        <v>34</v>
      </c>
      <c r="E132" s="23">
        <v>275491</v>
      </c>
      <c r="F132" s="20">
        <f t="shared" si="0"/>
        <v>50</v>
      </c>
      <c r="G132" s="31">
        <v>1498</v>
      </c>
      <c r="H132" s="16">
        <f t="shared" si="1"/>
        <v>26928.060000000005</v>
      </c>
      <c r="I132" s="20">
        <v>29.96</v>
      </c>
      <c r="J132" s="18"/>
      <c r="K132" s="18"/>
      <c r="L132" s="18"/>
      <c r="M132" s="32"/>
    </row>
    <row r="133" spans="1:13" ht="24" customHeight="1" thickBot="1">
      <c r="A133" s="21">
        <v>46065</v>
      </c>
      <c r="B133" s="25" t="s">
        <v>41</v>
      </c>
      <c r="C133" s="25" t="s">
        <v>9</v>
      </c>
      <c r="D133" s="22" t="s">
        <v>34</v>
      </c>
      <c r="E133" s="23">
        <v>922871</v>
      </c>
      <c r="F133" s="20">
        <f t="shared" si="0"/>
        <v>59.999999999999993</v>
      </c>
      <c r="G133" s="40">
        <v>1797.6</v>
      </c>
      <c r="H133" s="16">
        <f t="shared" si="1"/>
        <v>25130.460000000006</v>
      </c>
      <c r="I133" s="20">
        <v>29.96</v>
      </c>
      <c r="J133" s="18"/>
      <c r="K133" s="18"/>
      <c r="L133" s="18"/>
      <c r="M133" s="32"/>
    </row>
    <row r="134" spans="1:13" ht="24" customHeight="1" thickBot="1">
      <c r="A134" s="21">
        <v>46065</v>
      </c>
      <c r="B134" s="22" t="s">
        <v>60</v>
      </c>
      <c r="C134" s="22" t="s">
        <v>2</v>
      </c>
      <c r="D134" s="22" t="s">
        <v>35</v>
      </c>
      <c r="E134" s="23">
        <v>150343</v>
      </c>
      <c r="F134" s="20">
        <f t="shared" si="0"/>
        <v>90</v>
      </c>
      <c r="G134" s="40">
        <v>2696.4</v>
      </c>
      <c r="H134" s="16">
        <f t="shared" si="1"/>
        <v>22434.060000000005</v>
      </c>
      <c r="I134" s="20">
        <v>29.96</v>
      </c>
      <c r="J134" s="18"/>
      <c r="K134" s="18"/>
      <c r="L134" s="18"/>
      <c r="M134" s="32"/>
    </row>
    <row r="135" spans="1:13" ht="24" customHeight="1" thickBot="1">
      <c r="A135" s="21">
        <v>46065</v>
      </c>
      <c r="B135" s="22" t="s">
        <v>59</v>
      </c>
      <c r="C135" s="22" t="s">
        <v>11</v>
      </c>
      <c r="D135" s="22" t="s">
        <v>36</v>
      </c>
      <c r="E135" s="23">
        <v>237165</v>
      </c>
      <c r="F135" s="20">
        <f t="shared" si="0"/>
        <v>50</v>
      </c>
      <c r="G135" s="31">
        <v>1498</v>
      </c>
      <c r="H135" s="16">
        <f t="shared" si="1"/>
        <v>20936.060000000005</v>
      </c>
      <c r="I135" s="20">
        <v>29.96</v>
      </c>
      <c r="J135" s="18"/>
      <c r="K135" s="18"/>
      <c r="L135" s="18"/>
      <c r="M135" s="32"/>
    </row>
    <row r="136" spans="1:13" ht="24" customHeight="1" thickBot="1">
      <c r="A136" s="21">
        <v>46065</v>
      </c>
      <c r="B136" s="22" t="s">
        <v>45</v>
      </c>
      <c r="C136" s="22" t="s">
        <v>7</v>
      </c>
      <c r="D136" s="22" t="s">
        <v>38</v>
      </c>
      <c r="E136" s="23">
        <v>176648</v>
      </c>
      <c r="F136" s="20">
        <f t="shared" si="0"/>
        <v>135.84779706275032</v>
      </c>
      <c r="G136" s="31">
        <v>4070</v>
      </c>
      <c r="H136" s="16">
        <f t="shared" si="1"/>
        <v>16866.060000000005</v>
      </c>
      <c r="I136" s="20">
        <v>29.96</v>
      </c>
      <c r="J136" s="18"/>
      <c r="K136" s="18"/>
      <c r="L136" s="18"/>
      <c r="M136" s="32"/>
    </row>
    <row r="137" spans="1:13" ht="24" customHeight="1" thickBot="1">
      <c r="A137" s="21">
        <v>46065</v>
      </c>
      <c r="B137" s="25" t="s">
        <v>50</v>
      </c>
      <c r="C137" s="25" t="s">
        <v>5</v>
      </c>
      <c r="D137" s="22" t="s">
        <v>36</v>
      </c>
      <c r="E137" s="23">
        <v>197059</v>
      </c>
      <c r="F137" s="20">
        <f t="shared" si="0"/>
        <v>50</v>
      </c>
      <c r="G137" s="31">
        <v>1498</v>
      </c>
      <c r="H137" s="16">
        <f t="shared" si="1"/>
        <v>15368.060000000005</v>
      </c>
      <c r="I137" s="20">
        <v>29.96</v>
      </c>
      <c r="J137" s="18"/>
      <c r="K137" s="18"/>
      <c r="L137" s="18"/>
      <c r="M137" s="32"/>
    </row>
    <row r="138" spans="1:13" ht="24" customHeight="1" thickBot="1">
      <c r="A138" s="21">
        <v>46065</v>
      </c>
      <c r="B138" s="22" t="s">
        <v>52</v>
      </c>
      <c r="C138" s="22" t="s">
        <v>4</v>
      </c>
      <c r="D138" s="22" t="s">
        <v>37</v>
      </c>
      <c r="E138" s="23">
        <v>175736</v>
      </c>
      <c r="F138" s="20">
        <f t="shared" si="0"/>
        <v>60.000000000000007</v>
      </c>
      <c r="G138" s="40">
        <v>1802.4</v>
      </c>
      <c r="H138" s="16">
        <f t="shared" si="1"/>
        <v>13565.660000000005</v>
      </c>
      <c r="I138" s="20">
        <v>30.04</v>
      </c>
      <c r="J138" s="18"/>
      <c r="K138" s="18"/>
      <c r="L138" s="18"/>
      <c r="M138" s="32"/>
    </row>
    <row r="139" spans="1:13" ht="24" customHeight="1" thickBot="1">
      <c r="A139" s="21">
        <v>46066</v>
      </c>
      <c r="B139" s="22" t="s">
        <v>53</v>
      </c>
      <c r="C139" s="22" t="s">
        <v>10</v>
      </c>
      <c r="D139" s="22" t="s">
        <v>34</v>
      </c>
      <c r="E139" s="23">
        <v>297654</v>
      </c>
      <c r="F139" s="20">
        <f t="shared" si="0"/>
        <v>50</v>
      </c>
      <c r="G139" s="40">
        <v>1498</v>
      </c>
      <c r="H139" s="16">
        <f t="shared" si="1"/>
        <v>12067.660000000005</v>
      </c>
      <c r="I139" s="20">
        <v>29.96</v>
      </c>
      <c r="J139" s="18"/>
      <c r="K139" s="18"/>
      <c r="L139" s="18"/>
      <c r="M139" s="32"/>
    </row>
    <row r="140" spans="1:13" ht="24" customHeight="1" thickBot="1">
      <c r="A140" s="21">
        <v>46066</v>
      </c>
      <c r="B140" s="25" t="s">
        <v>49</v>
      </c>
      <c r="C140" s="25" t="s">
        <v>6</v>
      </c>
      <c r="D140" s="22" t="s">
        <v>35</v>
      </c>
      <c r="E140" s="23">
        <v>172779</v>
      </c>
      <c r="F140" s="20">
        <f t="shared" si="0"/>
        <v>50</v>
      </c>
      <c r="G140" s="40">
        <v>1498</v>
      </c>
      <c r="H140" s="16">
        <f t="shared" si="1"/>
        <v>10569.660000000005</v>
      </c>
      <c r="I140" s="20">
        <v>29.96</v>
      </c>
      <c r="J140" s="18"/>
      <c r="K140" s="18"/>
      <c r="L140" s="18"/>
      <c r="M140" s="32"/>
    </row>
    <row r="141" spans="1:13" ht="24" customHeight="1" thickBot="1">
      <c r="A141" s="21">
        <v>46066</v>
      </c>
      <c r="B141" s="22" t="s">
        <v>51</v>
      </c>
      <c r="C141" s="22" t="s">
        <v>3</v>
      </c>
      <c r="D141" s="22" t="s">
        <v>35</v>
      </c>
      <c r="E141" s="23">
        <v>308169</v>
      </c>
      <c r="F141" s="20">
        <f t="shared" si="0"/>
        <v>90</v>
      </c>
      <c r="G141" s="40">
        <v>2696.4</v>
      </c>
      <c r="H141" s="16">
        <f t="shared" si="1"/>
        <v>7873.2600000000057</v>
      </c>
      <c r="I141" s="20">
        <v>29.96</v>
      </c>
      <c r="J141" s="18"/>
      <c r="K141" s="18"/>
      <c r="L141" s="18"/>
      <c r="M141" s="32"/>
    </row>
    <row r="142" spans="1:13" ht="24" customHeight="1" thickBot="1">
      <c r="A142" s="21">
        <v>46066</v>
      </c>
      <c r="B142" s="25" t="s">
        <v>50</v>
      </c>
      <c r="C142" s="25" t="s">
        <v>5</v>
      </c>
      <c r="D142" s="22" t="s">
        <v>36</v>
      </c>
      <c r="E142" s="23">
        <v>197225</v>
      </c>
      <c r="F142" s="20">
        <f t="shared" si="0"/>
        <v>50</v>
      </c>
      <c r="G142" s="31">
        <v>1498</v>
      </c>
      <c r="H142" s="16">
        <f t="shared" si="1"/>
        <v>6375.2600000000057</v>
      </c>
      <c r="I142" s="20">
        <v>29.96</v>
      </c>
      <c r="J142" s="18"/>
      <c r="K142" s="18"/>
      <c r="L142" s="18"/>
      <c r="M142" s="32"/>
    </row>
    <row r="143" spans="1:13" ht="24" customHeight="1" thickBot="1">
      <c r="A143" s="21">
        <v>46066</v>
      </c>
      <c r="B143" s="22" t="s">
        <v>59</v>
      </c>
      <c r="C143" s="22" t="s">
        <v>11</v>
      </c>
      <c r="D143" s="22" t="s">
        <v>36</v>
      </c>
      <c r="E143" s="23">
        <v>237295</v>
      </c>
      <c r="F143" s="20">
        <f t="shared" si="0"/>
        <v>50</v>
      </c>
      <c r="G143" s="31">
        <v>1498</v>
      </c>
      <c r="H143" s="16">
        <f t="shared" si="1"/>
        <v>4877.2600000000057</v>
      </c>
      <c r="I143" s="20">
        <v>29.96</v>
      </c>
      <c r="J143" s="18"/>
      <c r="K143" s="18"/>
      <c r="L143" s="18"/>
      <c r="M143" s="32"/>
    </row>
    <row r="144" spans="1:13" ht="24" customHeight="1" thickBot="1">
      <c r="A144" s="21">
        <v>46066</v>
      </c>
      <c r="B144" s="25" t="s">
        <v>43</v>
      </c>
      <c r="C144" s="25" t="s">
        <v>1</v>
      </c>
      <c r="D144" s="22" t="s">
        <v>35</v>
      </c>
      <c r="E144" s="23">
        <v>175555</v>
      </c>
      <c r="F144" s="20">
        <f t="shared" si="0"/>
        <v>50</v>
      </c>
      <c r="G144" s="31">
        <v>1498</v>
      </c>
      <c r="H144" s="16">
        <f t="shared" si="1"/>
        <v>3379.2600000000057</v>
      </c>
      <c r="I144" s="20">
        <v>29.96</v>
      </c>
      <c r="J144" s="18"/>
      <c r="K144" s="18"/>
      <c r="L144" s="18"/>
      <c r="M144" s="32"/>
    </row>
    <row r="145" spans="1:13" ht="24" customHeight="1" thickBot="1">
      <c r="A145" s="21">
        <v>46066</v>
      </c>
      <c r="B145" s="22" t="s">
        <v>60</v>
      </c>
      <c r="C145" s="22" t="s">
        <v>2</v>
      </c>
      <c r="D145" s="22" t="s">
        <v>35</v>
      </c>
      <c r="E145" s="23">
        <v>150647</v>
      </c>
      <c r="F145" s="20">
        <f t="shared" si="0"/>
        <v>90</v>
      </c>
      <c r="G145" s="40">
        <v>2696.4</v>
      </c>
      <c r="H145" s="16">
        <f t="shared" si="1"/>
        <v>682.86000000000558</v>
      </c>
      <c r="I145" s="20">
        <v>29.96</v>
      </c>
      <c r="J145" s="18"/>
      <c r="K145" s="18"/>
      <c r="L145" s="18"/>
      <c r="M145" s="32"/>
    </row>
    <row r="146" spans="1:13" ht="24" customHeight="1" thickBot="1">
      <c r="A146" s="21">
        <v>46066</v>
      </c>
      <c r="B146" s="22" t="s">
        <v>46</v>
      </c>
      <c r="C146" s="25" t="s">
        <v>47</v>
      </c>
      <c r="D146" s="22" t="s">
        <v>34</v>
      </c>
      <c r="E146" s="23">
        <v>238816</v>
      </c>
      <c r="F146" s="20">
        <f t="shared" si="0"/>
        <v>140.18691588785046</v>
      </c>
      <c r="G146" s="31">
        <v>4200</v>
      </c>
      <c r="H146" s="16">
        <f t="shared" si="1"/>
        <v>-3517.1399999999944</v>
      </c>
      <c r="I146" s="20">
        <v>29.96</v>
      </c>
      <c r="J146" s="18"/>
      <c r="K146" s="18"/>
      <c r="L146" s="18"/>
      <c r="M146" s="32"/>
    </row>
    <row r="147" spans="1:13" ht="24" customHeight="1" thickBot="1">
      <c r="A147" s="21">
        <v>46066</v>
      </c>
      <c r="B147" s="22" t="s">
        <v>55</v>
      </c>
      <c r="C147" s="22" t="s">
        <v>15</v>
      </c>
      <c r="D147" s="22" t="s">
        <v>36</v>
      </c>
      <c r="E147" s="23">
        <v>282215</v>
      </c>
      <c r="F147" s="20">
        <f t="shared" si="0"/>
        <v>50</v>
      </c>
      <c r="G147" s="31">
        <v>1498</v>
      </c>
      <c r="H147" s="16">
        <f t="shared" si="1"/>
        <v>-5015.139999999994</v>
      </c>
      <c r="I147" s="20">
        <v>29.96</v>
      </c>
      <c r="J147" s="18"/>
      <c r="K147" s="18"/>
      <c r="L147" s="18"/>
      <c r="M147" s="32"/>
    </row>
    <row r="148" spans="1:13" ht="24" customHeight="1" thickBot="1">
      <c r="A148" s="21">
        <v>46066</v>
      </c>
      <c r="B148" s="25" t="s">
        <v>48</v>
      </c>
      <c r="C148" s="25" t="s">
        <v>17</v>
      </c>
      <c r="D148" s="22" t="s">
        <v>34</v>
      </c>
      <c r="E148" s="23">
        <v>161394</v>
      </c>
      <c r="F148" s="20">
        <f t="shared" si="0"/>
        <v>50</v>
      </c>
      <c r="G148" s="40">
        <v>1498</v>
      </c>
      <c r="H148" s="16">
        <f t="shared" si="1"/>
        <v>-6513.139999999994</v>
      </c>
      <c r="I148" s="20">
        <v>29.96</v>
      </c>
      <c r="J148" s="18"/>
      <c r="K148" s="18"/>
      <c r="L148" s="18"/>
      <c r="M148" s="32"/>
    </row>
    <row r="149" spans="1:13" ht="24" customHeight="1" thickBot="1">
      <c r="A149" s="21">
        <v>46066</v>
      </c>
      <c r="B149" s="22" t="s">
        <v>42</v>
      </c>
      <c r="C149" s="22" t="s">
        <v>32</v>
      </c>
      <c r="D149" s="22" t="s">
        <v>34</v>
      </c>
      <c r="E149" s="23">
        <v>275576</v>
      </c>
      <c r="F149" s="20">
        <f t="shared" si="0"/>
        <v>50</v>
      </c>
      <c r="G149" s="40">
        <v>1498</v>
      </c>
      <c r="H149" s="16">
        <f t="shared" si="1"/>
        <v>-8011.139999999994</v>
      </c>
      <c r="I149" s="20">
        <v>29.96</v>
      </c>
      <c r="J149" s="18"/>
      <c r="K149" s="18"/>
      <c r="L149" s="18"/>
      <c r="M149" s="32"/>
    </row>
    <row r="150" spans="1:13" ht="24" customHeight="1" thickBot="1">
      <c r="A150" s="21">
        <v>46066</v>
      </c>
      <c r="B150" s="22" t="s">
        <v>57</v>
      </c>
      <c r="C150" s="22" t="s">
        <v>12</v>
      </c>
      <c r="D150" s="22" t="s">
        <v>36</v>
      </c>
      <c r="E150" s="23">
        <v>169968</v>
      </c>
      <c r="F150" s="20">
        <f t="shared" si="0"/>
        <v>50</v>
      </c>
      <c r="G150" s="31">
        <v>1498</v>
      </c>
      <c r="H150" s="16">
        <f t="shared" si="1"/>
        <v>-9509.139999999994</v>
      </c>
      <c r="I150" s="20">
        <v>29.96</v>
      </c>
      <c r="J150" s="18"/>
      <c r="K150" s="18"/>
      <c r="L150" s="18"/>
      <c r="M150" s="32"/>
    </row>
    <row r="151" spans="1:13" ht="24" customHeight="1" thickBot="1">
      <c r="A151" s="21">
        <v>46066</v>
      </c>
      <c r="B151" s="25" t="s">
        <v>41</v>
      </c>
      <c r="C151" s="25" t="s">
        <v>9</v>
      </c>
      <c r="D151" s="22" t="s">
        <v>34</v>
      </c>
      <c r="E151" s="23">
        <v>922968</v>
      </c>
      <c r="F151" s="20">
        <f t="shared" si="0"/>
        <v>59.999999999999993</v>
      </c>
      <c r="G151" s="40">
        <v>1797.6</v>
      </c>
      <c r="H151" s="16">
        <f t="shared" si="1"/>
        <v>-11306.739999999994</v>
      </c>
      <c r="I151" s="20">
        <v>29.96</v>
      </c>
      <c r="J151" s="18"/>
      <c r="K151" s="18"/>
      <c r="L151" s="18"/>
      <c r="M151" s="32"/>
    </row>
    <row r="152" spans="1:13" ht="24" customHeight="1" thickBot="1">
      <c r="A152" s="21">
        <v>46066</v>
      </c>
      <c r="B152" s="22" t="s">
        <v>63</v>
      </c>
      <c r="C152" s="22" t="s">
        <v>7</v>
      </c>
      <c r="D152" s="22" t="s">
        <v>36</v>
      </c>
      <c r="E152" s="23">
        <v>254889</v>
      </c>
      <c r="F152" s="20">
        <f t="shared" si="0"/>
        <v>50</v>
      </c>
      <c r="G152" s="40">
        <v>1498</v>
      </c>
      <c r="H152" s="16">
        <f t="shared" si="1"/>
        <v>-12804.739999999994</v>
      </c>
      <c r="I152" s="20">
        <v>29.96</v>
      </c>
      <c r="J152" s="18"/>
      <c r="K152" s="18"/>
      <c r="L152" s="18"/>
      <c r="M152" s="32"/>
    </row>
    <row r="153" spans="1:13" ht="24" customHeight="1" thickBot="1">
      <c r="A153" s="21">
        <v>46067</v>
      </c>
      <c r="B153" s="25" t="s">
        <v>49</v>
      </c>
      <c r="C153" s="25" t="s">
        <v>6</v>
      </c>
      <c r="D153" s="22" t="s">
        <v>35</v>
      </c>
      <c r="E153" s="23">
        <v>172931</v>
      </c>
      <c r="F153" s="20">
        <f t="shared" si="0"/>
        <v>50</v>
      </c>
      <c r="G153" s="40">
        <v>1498</v>
      </c>
      <c r="H153" s="16">
        <f t="shared" si="1"/>
        <v>-14302.739999999994</v>
      </c>
      <c r="I153" s="20">
        <v>29.96</v>
      </c>
      <c r="J153" s="18"/>
      <c r="K153" s="18"/>
      <c r="L153" s="18"/>
      <c r="M153" s="32"/>
    </row>
    <row r="154" spans="1:13" ht="24" customHeight="1" thickBot="1">
      <c r="A154" s="21">
        <v>46067</v>
      </c>
      <c r="B154" s="22" t="s">
        <v>54</v>
      </c>
      <c r="C154" s="22" t="s">
        <v>16</v>
      </c>
      <c r="D154" s="22" t="s">
        <v>35</v>
      </c>
      <c r="E154" s="30">
        <v>237211</v>
      </c>
      <c r="F154" s="20">
        <f t="shared" si="0"/>
        <v>50</v>
      </c>
      <c r="G154" s="31">
        <v>1498</v>
      </c>
      <c r="H154" s="16">
        <f t="shared" si="1"/>
        <v>-15800.739999999994</v>
      </c>
      <c r="I154" s="20">
        <v>29.96</v>
      </c>
      <c r="J154" s="18"/>
      <c r="K154" s="18"/>
      <c r="L154" s="18"/>
      <c r="M154" s="32"/>
    </row>
    <row r="155" spans="1:13" ht="24" customHeight="1" thickBot="1">
      <c r="A155" s="21">
        <v>46066</v>
      </c>
      <c r="B155" s="22" t="s">
        <v>52</v>
      </c>
      <c r="C155" s="22" t="s">
        <v>4</v>
      </c>
      <c r="D155" s="22" t="s">
        <v>37</v>
      </c>
      <c r="E155" s="30">
        <v>175988</v>
      </c>
      <c r="F155" s="20">
        <f>G155/I155</f>
        <v>60.000000000000007</v>
      </c>
      <c r="G155" s="40">
        <v>1802.4</v>
      </c>
      <c r="H155" s="16">
        <f t="shared" si="1"/>
        <v>-17603.139999999996</v>
      </c>
      <c r="I155" s="20">
        <v>30.04</v>
      </c>
      <c r="J155" s="18"/>
      <c r="K155" s="18"/>
      <c r="L155" s="18"/>
      <c r="M155" s="32"/>
    </row>
    <row r="156" spans="1:13" ht="24" customHeight="1" thickBot="1">
      <c r="A156" s="21">
        <v>46067</v>
      </c>
      <c r="B156" s="22" t="s">
        <v>42</v>
      </c>
      <c r="C156" s="22" t="s">
        <v>32</v>
      </c>
      <c r="D156" s="22" t="s">
        <v>34</v>
      </c>
      <c r="E156" s="23">
        <v>275677</v>
      </c>
      <c r="F156" s="20">
        <f t="shared" si="0"/>
        <v>50</v>
      </c>
      <c r="G156" s="40">
        <v>1498</v>
      </c>
      <c r="H156" s="16">
        <f t="shared" si="1"/>
        <v>-19101.139999999996</v>
      </c>
      <c r="I156" s="20">
        <v>29.96</v>
      </c>
      <c r="J156" s="18"/>
      <c r="K156" s="18"/>
      <c r="L156" s="18"/>
      <c r="M156" s="32"/>
    </row>
    <row r="157" spans="1:13" ht="24" customHeight="1" thickBot="1">
      <c r="A157" s="21">
        <v>46067</v>
      </c>
      <c r="B157" s="22" t="s">
        <v>56</v>
      </c>
      <c r="C157" s="22" t="s">
        <v>62</v>
      </c>
      <c r="D157" s="22" t="s">
        <v>34</v>
      </c>
      <c r="E157" s="23">
        <v>296756</v>
      </c>
      <c r="F157" s="20">
        <f t="shared" si="0"/>
        <v>152.53671562082778</v>
      </c>
      <c r="G157" s="31">
        <v>4570</v>
      </c>
      <c r="H157" s="16">
        <f t="shared" si="1"/>
        <v>-23671.139999999996</v>
      </c>
      <c r="I157" s="20">
        <v>29.96</v>
      </c>
      <c r="J157" s="18"/>
      <c r="K157" s="18"/>
      <c r="L157" s="18"/>
      <c r="M157" s="32"/>
    </row>
    <row r="158" spans="1:13" ht="24" customHeight="1" thickBot="1">
      <c r="A158" s="21">
        <v>46067</v>
      </c>
      <c r="B158" s="22" t="s">
        <v>51</v>
      </c>
      <c r="C158" s="22" t="s">
        <v>3</v>
      </c>
      <c r="D158" s="22" t="s">
        <v>35</v>
      </c>
      <c r="E158" s="23">
        <v>308476</v>
      </c>
      <c r="F158" s="20">
        <f t="shared" si="0"/>
        <v>90</v>
      </c>
      <c r="G158" s="40">
        <v>2696.4</v>
      </c>
      <c r="H158" s="16">
        <f t="shared" si="1"/>
        <v>-26367.539999999997</v>
      </c>
      <c r="I158" s="20">
        <v>29.96</v>
      </c>
      <c r="J158" s="18"/>
      <c r="K158" s="18"/>
      <c r="L158" s="18"/>
      <c r="M158" s="32"/>
    </row>
    <row r="159" spans="1:13" ht="24" customHeight="1" thickBot="1">
      <c r="A159" s="21">
        <v>46067</v>
      </c>
      <c r="B159" s="22" t="s">
        <v>60</v>
      </c>
      <c r="C159" s="22" t="s">
        <v>2</v>
      </c>
      <c r="D159" s="22" t="s">
        <v>35</v>
      </c>
      <c r="E159" s="23">
        <v>150952</v>
      </c>
      <c r="F159" s="20">
        <f t="shared" si="0"/>
        <v>73.998664886515357</v>
      </c>
      <c r="G159" s="40">
        <v>2217</v>
      </c>
      <c r="H159" s="16">
        <f t="shared" si="1"/>
        <v>-28584.539999999997</v>
      </c>
      <c r="I159" s="20">
        <v>29.96</v>
      </c>
      <c r="J159" s="18"/>
      <c r="K159" s="18"/>
      <c r="L159" s="18"/>
      <c r="M159" s="32"/>
    </row>
    <row r="160" spans="1:13" ht="24" customHeight="1" thickBot="1">
      <c r="A160" s="21">
        <v>46067</v>
      </c>
      <c r="B160" s="25" t="s">
        <v>50</v>
      </c>
      <c r="C160" s="25" t="s">
        <v>5</v>
      </c>
      <c r="D160" s="22" t="s">
        <v>35</v>
      </c>
      <c r="E160" s="23">
        <v>197346</v>
      </c>
      <c r="F160" s="20">
        <f t="shared" si="0"/>
        <v>50</v>
      </c>
      <c r="G160" s="31">
        <v>1498</v>
      </c>
      <c r="H160" s="16">
        <f t="shared" si="1"/>
        <v>-30082.539999999997</v>
      </c>
      <c r="I160" s="20">
        <v>29.96</v>
      </c>
      <c r="J160" s="18"/>
      <c r="K160" s="18"/>
      <c r="L160" s="18"/>
      <c r="M160" s="32"/>
    </row>
    <row r="161" spans="1:13" ht="24" customHeight="1" thickBot="1">
      <c r="A161" s="21">
        <v>46067</v>
      </c>
      <c r="B161" s="22" t="s">
        <v>53</v>
      </c>
      <c r="C161" s="22" t="s">
        <v>10</v>
      </c>
      <c r="D161" s="22" t="s">
        <v>34</v>
      </c>
      <c r="E161" s="23">
        <v>297811</v>
      </c>
      <c r="F161" s="20">
        <f t="shared" si="0"/>
        <v>50</v>
      </c>
      <c r="G161" s="40">
        <v>1498</v>
      </c>
      <c r="H161" s="16">
        <f t="shared" si="1"/>
        <v>-31580.539999999997</v>
      </c>
      <c r="I161" s="20">
        <v>29.96</v>
      </c>
      <c r="J161" s="18"/>
      <c r="K161" s="18"/>
      <c r="L161" s="18"/>
      <c r="M161" s="32"/>
    </row>
    <row r="162" spans="1:13" ht="24" customHeight="1" thickBot="1">
      <c r="A162" s="21">
        <v>46067</v>
      </c>
      <c r="B162" s="22" t="s">
        <v>59</v>
      </c>
      <c r="C162" s="22" t="s">
        <v>11</v>
      </c>
      <c r="D162" s="22" t="s">
        <v>36</v>
      </c>
      <c r="E162" s="23">
        <v>237415</v>
      </c>
      <c r="F162" s="20">
        <f t="shared" si="0"/>
        <v>50</v>
      </c>
      <c r="G162" s="31">
        <v>1498</v>
      </c>
      <c r="H162" s="16">
        <f t="shared" si="1"/>
        <v>-33078.539999999994</v>
      </c>
      <c r="I162" s="20">
        <v>29.96</v>
      </c>
      <c r="J162" s="18">
        <v>-33078.54</v>
      </c>
      <c r="K162" s="18"/>
      <c r="L162" s="18"/>
      <c r="M162" s="32"/>
    </row>
    <row r="163" spans="1:13" ht="24" hidden="1" customHeight="1" thickBot="1">
      <c r="A163" s="21">
        <v>46067</v>
      </c>
      <c r="B163" s="26" t="s">
        <v>20</v>
      </c>
      <c r="C163" s="26" t="s">
        <v>20</v>
      </c>
      <c r="D163" s="26" t="s">
        <v>20</v>
      </c>
      <c r="E163" s="27" t="s">
        <v>65</v>
      </c>
      <c r="F163" s="20">
        <f>G163/I163</f>
        <v>-2002.6702269692923</v>
      </c>
      <c r="G163" s="24">
        <v>-60000</v>
      </c>
      <c r="H163" s="16">
        <f t="shared" si="1"/>
        <v>26921.460000000006</v>
      </c>
      <c r="I163" s="20">
        <v>29.96</v>
      </c>
      <c r="J163" s="28" t="s">
        <v>120</v>
      </c>
      <c r="K163" s="18"/>
      <c r="L163" s="18"/>
      <c r="M163" s="32"/>
    </row>
    <row r="164" spans="1:13" ht="24" customHeight="1" thickBot="1">
      <c r="A164" s="21">
        <v>46067</v>
      </c>
      <c r="B164" s="22" t="s">
        <v>39</v>
      </c>
      <c r="C164" s="22" t="s">
        <v>64</v>
      </c>
      <c r="D164" s="22" t="s">
        <v>34</v>
      </c>
      <c r="E164" s="41" t="s">
        <v>20</v>
      </c>
      <c r="F164" s="20">
        <f t="shared" si="0"/>
        <v>16.688918558077436</v>
      </c>
      <c r="G164" s="43">
        <v>500</v>
      </c>
      <c r="H164" s="16">
        <f t="shared" si="1"/>
        <v>26421.460000000006</v>
      </c>
      <c r="I164" s="20">
        <v>29.96</v>
      </c>
      <c r="J164" s="18"/>
      <c r="K164" s="18"/>
      <c r="L164" s="18"/>
      <c r="M164" s="32"/>
    </row>
    <row r="165" spans="1:13" ht="24" customHeight="1" thickBot="1">
      <c r="A165" s="21">
        <v>46068</v>
      </c>
      <c r="B165" s="22" t="s">
        <v>52</v>
      </c>
      <c r="C165" s="22" t="s">
        <v>4</v>
      </c>
      <c r="D165" s="22" t="s">
        <v>34</v>
      </c>
      <c r="E165" s="23">
        <v>176294</v>
      </c>
      <c r="F165" s="20">
        <f t="shared" si="0"/>
        <v>50</v>
      </c>
      <c r="G165" s="24">
        <v>1498</v>
      </c>
      <c r="H165" s="16">
        <f t="shared" si="1"/>
        <v>24923.460000000006</v>
      </c>
      <c r="I165" s="20">
        <v>29.96</v>
      </c>
      <c r="J165" s="18"/>
      <c r="K165" s="18"/>
      <c r="L165" s="18"/>
      <c r="M165" s="32"/>
    </row>
    <row r="166" spans="1:13" ht="24" customHeight="1" thickBot="1">
      <c r="A166" s="21">
        <v>46068</v>
      </c>
      <c r="B166" s="22" t="s">
        <v>57</v>
      </c>
      <c r="C166" s="22" t="s">
        <v>12</v>
      </c>
      <c r="D166" s="22" t="s">
        <v>35</v>
      </c>
      <c r="E166" s="23">
        <v>170275</v>
      </c>
      <c r="F166" s="20">
        <f t="shared" si="0"/>
        <v>119.99999999999999</v>
      </c>
      <c r="G166" s="24">
        <v>3595.2</v>
      </c>
      <c r="H166" s="16">
        <f t="shared" si="1"/>
        <v>21328.260000000006</v>
      </c>
      <c r="I166" s="20">
        <v>29.96</v>
      </c>
      <c r="J166" s="18"/>
      <c r="K166" s="18"/>
      <c r="L166" s="18"/>
      <c r="M166" s="32"/>
    </row>
    <row r="167" spans="1:13" ht="24" customHeight="1" thickBot="1">
      <c r="A167" s="21">
        <v>46069</v>
      </c>
      <c r="B167" s="22" t="s">
        <v>59</v>
      </c>
      <c r="C167" s="22" t="s">
        <v>11</v>
      </c>
      <c r="D167" s="22" t="s">
        <v>35</v>
      </c>
      <c r="E167" s="23">
        <v>237539</v>
      </c>
      <c r="F167" s="20">
        <f t="shared" si="0"/>
        <v>50</v>
      </c>
      <c r="G167" s="24">
        <v>1498</v>
      </c>
      <c r="H167" s="16">
        <f t="shared" si="1"/>
        <v>19830.260000000006</v>
      </c>
      <c r="I167" s="20">
        <v>29.96</v>
      </c>
      <c r="J167" s="18"/>
      <c r="K167" s="18"/>
      <c r="L167" s="18"/>
      <c r="M167" s="32"/>
    </row>
    <row r="168" spans="1:13" ht="24" customHeight="1" thickBot="1">
      <c r="A168" s="21">
        <v>46069</v>
      </c>
      <c r="B168" s="25" t="s">
        <v>49</v>
      </c>
      <c r="C168" s="25" t="s">
        <v>6</v>
      </c>
      <c r="D168" s="22" t="s">
        <v>35</v>
      </c>
      <c r="E168" s="23">
        <v>173059</v>
      </c>
      <c r="F168" s="20">
        <f t="shared" si="0"/>
        <v>50</v>
      </c>
      <c r="G168" s="43">
        <v>1498</v>
      </c>
      <c r="H168" s="16">
        <f t="shared" si="1"/>
        <v>18332.260000000006</v>
      </c>
      <c r="I168" s="20">
        <v>29.96</v>
      </c>
      <c r="J168" s="18"/>
      <c r="K168" s="18"/>
      <c r="L168" s="18"/>
      <c r="M168" s="32"/>
    </row>
    <row r="169" spans="1:13" ht="24" customHeight="1" thickBot="1">
      <c r="A169" s="21">
        <v>46069</v>
      </c>
      <c r="B169" s="25" t="s">
        <v>43</v>
      </c>
      <c r="C169" s="25" t="s">
        <v>1</v>
      </c>
      <c r="D169" s="22" t="s">
        <v>36</v>
      </c>
      <c r="E169" s="30">
        <v>175811</v>
      </c>
      <c r="F169" s="20">
        <f t="shared" ref="F169:F177" si="2">G169/I169</f>
        <v>90</v>
      </c>
      <c r="G169" s="43">
        <v>2696.4</v>
      </c>
      <c r="H169" s="16">
        <f t="shared" si="1"/>
        <v>15635.860000000006</v>
      </c>
      <c r="I169" s="20">
        <v>29.96</v>
      </c>
      <c r="J169" s="18"/>
      <c r="K169" s="18"/>
      <c r="L169" s="18"/>
      <c r="M169" s="32"/>
    </row>
    <row r="170" spans="1:13" ht="24" customHeight="1" thickBot="1">
      <c r="A170" s="21">
        <v>46069</v>
      </c>
      <c r="B170" s="22" t="s">
        <v>54</v>
      </c>
      <c r="C170" s="22" t="s">
        <v>16</v>
      </c>
      <c r="D170" s="22" t="s">
        <v>35</v>
      </c>
      <c r="E170" s="23">
        <v>237366</v>
      </c>
      <c r="F170" s="20">
        <f t="shared" si="2"/>
        <v>50</v>
      </c>
      <c r="G170" s="24">
        <v>1498</v>
      </c>
      <c r="H170" s="16">
        <f t="shared" si="1"/>
        <v>14137.860000000006</v>
      </c>
      <c r="I170" s="20">
        <v>29.96</v>
      </c>
      <c r="J170" s="18"/>
      <c r="K170" s="18"/>
      <c r="L170" s="18"/>
      <c r="M170" s="32"/>
    </row>
    <row r="171" spans="1:13" ht="24" customHeight="1" thickBot="1">
      <c r="A171" s="21">
        <v>46069</v>
      </c>
      <c r="B171" s="25" t="s">
        <v>41</v>
      </c>
      <c r="C171" s="25" t="s">
        <v>9</v>
      </c>
      <c r="D171" s="22" t="s">
        <v>34</v>
      </c>
      <c r="E171" s="23">
        <v>923132</v>
      </c>
      <c r="F171" s="20">
        <f t="shared" si="2"/>
        <v>59.999999999999993</v>
      </c>
      <c r="G171" s="43">
        <v>1797.6</v>
      </c>
      <c r="H171" s="16">
        <f t="shared" si="1"/>
        <v>12340.260000000006</v>
      </c>
      <c r="I171" s="20">
        <v>29.96</v>
      </c>
      <c r="J171" s="18"/>
      <c r="K171" s="18"/>
      <c r="L171" s="18"/>
      <c r="M171" s="32"/>
    </row>
    <row r="172" spans="1:13" ht="24" customHeight="1" thickBot="1">
      <c r="A172" s="21">
        <v>46069</v>
      </c>
      <c r="B172" s="22" t="s">
        <v>63</v>
      </c>
      <c r="C172" s="76" t="s">
        <v>114</v>
      </c>
      <c r="D172" s="22" t="s">
        <v>35</v>
      </c>
      <c r="E172" s="23">
        <v>255014</v>
      </c>
      <c r="F172" s="20">
        <f t="shared" si="2"/>
        <v>124.49933244325767</v>
      </c>
      <c r="G172" s="24">
        <v>3730</v>
      </c>
      <c r="H172" s="16">
        <f t="shared" si="1"/>
        <v>8610.2600000000057</v>
      </c>
      <c r="I172" s="20">
        <v>29.96</v>
      </c>
      <c r="J172" s="18"/>
      <c r="K172" s="18"/>
      <c r="L172" s="18"/>
      <c r="M172" s="32"/>
    </row>
    <row r="173" spans="1:13" ht="24" customHeight="1" thickBot="1">
      <c r="A173" s="21">
        <v>46069</v>
      </c>
      <c r="B173" s="22" t="s">
        <v>42</v>
      </c>
      <c r="C173" s="22" t="s">
        <v>32</v>
      </c>
      <c r="D173" s="22" t="s">
        <v>35</v>
      </c>
      <c r="E173" s="23">
        <v>275839</v>
      </c>
      <c r="F173" s="20">
        <f t="shared" si="2"/>
        <v>50</v>
      </c>
      <c r="G173" s="24">
        <v>1498</v>
      </c>
      <c r="H173" s="16">
        <f t="shared" si="1"/>
        <v>7112.2600000000057</v>
      </c>
      <c r="I173" s="20">
        <v>29.96</v>
      </c>
      <c r="J173" s="18"/>
      <c r="K173" s="18"/>
      <c r="L173" s="18"/>
      <c r="M173" s="32"/>
    </row>
    <row r="174" spans="1:13" ht="24" customHeight="1" thickBot="1">
      <c r="A174" s="21">
        <v>46069</v>
      </c>
      <c r="B174" s="25" t="s">
        <v>50</v>
      </c>
      <c r="C174" s="25" t="s">
        <v>5</v>
      </c>
      <c r="D174" s="22" t="s">
        <v>35</v>
      </c>
      <c r="E174" s="23">
        <v>197489</v>
      </c>
      <c r="F174" s="20">
        <f t="shared" si="2"/>
        <v>50</v>
      </c>
      <c r="G174" s="24">
        <v>1498</v>
      </c>
      <c r="H174" s="16">
        <f t="shared" si="1"/>
        <v>5614.2600000000057</v>
      </c>
      <c r="I174" s="20">
        <v>29.96</v>
      </c>
      <c r="J174" s="18"/>
      <c r="K174" s="18"/>
      <c r="L174" s="18"/>
      <c r="M174" s="32"/>
    </row>
    <row r="175" spans="1:13" ht="24" customHeight="1" thickBot="1">
      <c r="A175" s="21">
        <v>46069</v>
      </c>
      <c r="B175" s="25" t="s">
        <v>48</v>
      </c>
      <c r="C175" s="25" t="s">
        <v>17</v>
      </c>
      <c r="D175" s="22" t="s">
        <v>36</v>
      </c>
      <c r="E175" s="23">
        <v>161563</v>
      </c>
      <c r="F175" s="20">
        <f t="shared" si="2"/>
        <v>50</v>
      </c>
      <c r="G175" s="43">
        <v>1498</v>
      </c>
      <c r="H175" s="16">
        <f t="shared" si="1"/>
        <v>4116.2600000000057</v>
      </c>
      <c r="I175" s="20">
        <v>29.96</v>
      </c>
      <c r="J175" s="18"/>
      <c r="K175" s="18"/>
      <c r="L175" s="18"/>
      <c r="M175" s="32"/>
    </row>
    <row r="176" spans="1:13" ht="24" customHeight="1" thickBot="1">
      <c r="A176" s="21">
        <v>46069</v>
      </c>
      <c r="B176" s="22" t="s">
        <v>55</v>
      </c>
      <c r="C176" s="22" t="s">
        <v>15</v>
      </c>
      <c r="D176" s="22" t="s">
        <v>35</v>
      </c>
      <c r="E176" s="23">
        <v>282386</v>
      </c>
      <c r="F176" s="20">
        <f t="shared" si="2"/>
        <v>50</v>
      </c>
      <c r="G176" s="24">
        <v>1498</v>
      </c>
      <c r="H176" s="16">
        <f t="shared" si="1"/>
        <v>2618.2600000000057</v>
      </c>
      <c r="I176" s="20">
        <v>29.96</v>
      </c>
      <c r="J176" s="18"/>
      <c r="K176" s="18"/>
      <c r="L176" s="18"/>
      <c r="M176" s="32"/>
    </row>
    <row r="177" spans="1:13" ht="24" customHeight="1" thickBot="1">
      <c r="A177" s="21">
        <v>46069</v>
      </c>
      <c r="B177" s="22" t="s">
        <v>57</v>
      </c>
      <c r="C177" s="22" t="s">
        <v>12</v>
      </c>
      <c r="D177" s="22" t="s">
        <v>35</v>
      </c>
      <c r="E177" s="23">
        <v>170616</v>
      </c>
      <c r="F177" s="20">
        <f t="shared" si="2"/>
        <v>119.99999999999999</v>
      </c>
      <c r="G177" s="24">
        <v>3595.2</v>
      </c>
      <c r="H177" s="16">
        <f t="shared" si="1"/>
        <v>-976.93999999999414</v>
      </c>
      <c r="I177" s="20">
        <v>29.96</v>
      </c>
      <c r="J177" s="18"/>
      <c r="K177" s="18"/>
      <c r="L177" s="18"/>
      <c r="M177" s="32"/>
    </row>
    <row r="178" spans="1:13" ht="24" customHeight="1" thickBot="1">
      <c r="A178" s="77">
        <v>46058</v>
      </c>
      <c r="B178" s="26" t="s">
        <v>60</v>
      </c>
      <c r="C178" s="26" t="s">
        <v>2</v>
      </c>
      <c r="D178" s="26" t="s">
        <v>35</v>
      </c>
      <c r="E178" s="27"/>
      <c r="F178" s="20">
        <f t="shared" si="0"/>
        <v>50</v>
      </c>
      <c r="G178" s="43">
        <v>1498</v>
      </c>
      <c r="H178" s="16">
        <f t="shared" si="1"/>
        <v>-2474.9399999999941</v>
      </c>
      <c r="I178" s="20">
        <v>29.96</v>
      </c>
      <c r="J178" s="18"/>
      <c r="K178" s="18"/>
      <c r="L178" s="18"/>
      <c r="M178" s="32"/>
    </row>
    <row r="179" spans="1:13" ht="24" customHeight="1" thickBot="1">
      <c r="A179" s="77">
        <v>46060</v>
      </c>
      <c r="B179" s="26" t="s">
        <v>63</v>
      </c>
      <c r="C179" s="26" t="s">
        <v>12</v>
      </c>
      <c r="D179" s="26" t="s">
        <v>35</v>
      </c>
      <c r="E179" s="27"/>
      <c r="F179" s="20">
        <f t="shared" si="0"/>
        <v>50</v>
      </c>
      <c r="G179" s="43">
        <v>1498</v>
      </c>
      <c r="H179" s="16">
        <f t="shared" si="1"/>
        <v>-3972.9399999999941</v>
      </c>
      <c r="I179" s="20">
        <v>29.96</v>
      </c>
      <c r="J179" s="18"/>
      <c r="K179" s="18"/>
      <c r="L179" s="18"/>
      <c r="M179" s="32"/>
    </row>
    <row r="180" spans="1:13" ht="24" customHeight="1" thickBot="1">
      <c r="A180" s="77">
        <v>46064</v>
      </c>
      <c r="B180" s="26" t="s">
        <v>52</v>
      </c>
      <c r="C180" s="26" t="s">
        <v>4</v>
      </c>
      <c r="D180" s="26" t="s">
        <v>37</v>
      </c>
      <c r="E180" s="27"/>
      <c r="F180" s="20">
        <f t="shared" si="0"/>
        <v>60.000000000000007</v>
      </c>
      <c r="G180" s="43">
        <v>1802.4</v>
      </c>
      <c r="H180" s="16">
        <f t="shared" si="1"/>
        <v>-5775.3399999999947</v>
      </c>
      <c r="I180" s="20">
        <v>30.04</v>
      </c>
      <c r="J180" s="18"/>
      <c r="K180" s="18"/>
      <c r="L180" s="18"/>
      <c r="M180" s="32"/>
    </row>
    <row r="181" spans="1:13" ht="24" customHeight="1" thickBot="1">
      <c r="A181" s="77">
        <v>46067</v>
      </c>
      <c r="B181" s="78" t="s">
        <v>43</v>
      </c>
      <c r="C181" s="78" t="s">
        <v>1</v>
      </c>
      <c r="D181" s="26" t="s">
        <v>35</v>
      </c>
      <c r="E181" s="27"/>
      <c r="F181" s="20">
        <f t="shared" si="0"/>
        <v>50</v>
      </c>
      <c r="G181" s="24">
        <v>1498</v>
      </c>
      <c r="H181" s="16">
        <f t="shared" si="1"/>
        <v>-7273.3399999999947</v>
      </c>
      <c r="I181" s="20">
        <v>29.96</v>
      </c>
      <c r="J181" s="18"/>
      <c r="K181" s="18"/>
      <c r="L181" s="18"/>
      <c r="M181" s="32"/>
    </row>
    <row r="182" spans="1:13" ht="24" customHeight="1" thickBot="1">
      <c r="A182" s="77">
        <v>46069</v>
      </c>
      <c r="B182" s="78" t="s">
        <v>58</v>
      </c>
      <c r="C182" s="79" t="s">
        <v>121</v>
      </c>
      <c r="D182" s="26" t="s">
        <v>35</v>
      </c>
      <c r="E182" s="27"/>
      <c r="F182" s="20">
        <f t="shared" si="0"/>
        <v>0</v>
      </c>
      <c r="H182" s="16">
        <f t="shared" si="1"/>
        <v>-7273.3399999999947</v>
      </c>
      <c r="I182" s="20">
        <v>29.96</v>
      </c>
      <c r="J182" s="18"/>
      <c r="K182" s="18"/>
      <c r="L182" s="18"/>
      <c r="M182" s="32"/>
    </row>
    <row r="183" spans="1:13" ht="24" customHeight="1" thickBot="1">
      <c r="A183" s="77">
        <v>46069</v>
      </c>
      <c r="B183" s="26" t="s">
        <v>45</v>
      </c>
      <c r="C183" s="26" t="s">
        <v>7</v>
      </c>
      <c r="D183" s="26" t="s">
        <v>34</v>
      </c>
      <c r="E183" s="27"/>
      <c r="F183" s="20">
        <f t="shared" si="0"/>
        <v>0</v>
      </c>
      <c r="H183" s="16">
        <f t="shared" si="1"/>
        <v>-7273.3399999999947</v>
      </c>
      <c r="I183" s="20">
        <v>29.96</v>
      </c>
      <c r="J183" s="18"/>
      <c r="K183" s="18"/>
      <c r="L183" s="18"/>
      <c r="M183" s="32"/>
    </row>
    <row r="184" spans="1:13" ht="24" customHeight="1" thickBot="1">
      <c r="A184" s="77">
        <v>46069</v>
      </c>
      <c r="B184" s="26" t="s">
        <v>53</v>
      </c>
      <c r="C184" s="26" t="s">
        <v>10</v>
      </c>
      <c r="D184" s="26" t="s">
        <v>34</v>
      </c>
      <c r="E184" s="27"/>
      <c r="F184" s="20">
        <f t="shared" si="0"/>
        <v>90</v>
      </c>
      <c r="G184" s="43">
        <v>2696.4</v>
      </c>
      <c r="H184" s="16">
        <f t="shared" si="1"/>
        <v>-9969.7399999999943</v>
      </c>
      <c r="I184" s="20">
        <v>29.96</v>
      </c>
      <c r="J184" s="18"/>
      <c r="K184" s="18"/>
      <c r="L184" s="18"/>
      <c r="M184" s="32"/>
    </row>
    <row r="185" spans="1:13" ht="24" customHeight="1" thickBot="1">
      <c r="A185" s="77">
        <v>46069</v>
      </c>
      <c r="B185" s="26" t="s">
        <v>42</v>
      </c>
      <c r="C185" s="26" t="s">
        <v>32</v>
      </c>
      <c r="D185" s="26" t="s">
        <v>35</v>
      </c>
      <c r="E185" s="27"/>
      <c r="F185" s="20">
        <f t="shared" si="0"/>
        <v>50</v>
      </c>
      <c r="G185" s="24">
        <v>1498</v>
      </c>
      <c r="H185" s="16">
        <f t="shared" si="1"/>
        <v>-11467.739999999994</v>
      </c>
      <c r="I185" s="20">
        <v>29.96</v>
      </c>
      <c r="J185" s="18"/>
      <c r="K185" s="18"/>
      <c r="L185" s="18"/>
      <c r="M185" s="32"/>
    </row>
    <row r="186" spans="1:13" ht="24" customHeight="1" thickBot="1">
      <c r="A186" s="77">
        <v>46069</v>
      </c>
      <c r="B186" s="26" t="s">
        <v>50</v>
      </c>
      <c r="C186" s="26" t="s">
        <v>5</v>
      </c>
      <c r="D186" s="26" t="s">
        <v>34</v>
      </c>
      <c r="E186" s="27"/>
      <c r="F186" s="20">
        <f t="shared" si="0"/>
        <v>50</v>
      </c>
      <c r="G186" s="24">
        <v>1498</v>
      </c>
      <c r="H186" s="16">
        <f t="shared" si="1"/>
        <v>-12965.739999999994</v>
      </c>
      <c r="I186" s="20">
        <v>29.96</v>
      </c>
      <c r="J186" s="18"/>
      <c r="K186" s="18"/>
      <c r="L186" s="18"/>
      <c r="M186" s="32"/>
    </row>
    <row r="187" spans="1:13" ht="24" customHeight="1" thickBot="1">
      <c r="A187" s="77">
        <v>46069</v>
      </c>
      <c r="B187" s="78" t="s">
        <v>43</v>
      </c>
      <c r="C187" s="78" t="s">
        <v>1</v>
      </c>
      <c r="D187" s="26" t="s">
        <v>36</v>
      </c>
      <c r="E187" s="27"/>
      <c r="F187" s="20">
        <f t="shared" si="0"/>
        <v>90</v>
      </c>
      <c r="G187" s="43">
        <v>2696.4</v>
      </c>
      <c r="H187" s="16">
        <f t="shared" si="1"/>
        <v>-15662.139999999994</v>
      </c>
      <c r="I187" s="20">
        <v>29.96</v>
      </c>
      <c r="J187" s="18"/>
      <c r="K187" s="18"/>
      <c r="L187" s="18"/>
      <c r="M187" s="32"/>
    </row>
    <row r="188" spans="1:13" ht="24" customHeight="1" thickBot="1">
      <c r="A188" s="77">
        <v>46069</v>
      </c>
      <c r="B188" s="26" t="s">
        <v>49</v>
      </c>
      <c r="C188" s="26" t="s">
        <v>6</v>
      </c>
      <c r="D188" s="26" t="s">
        <v>35</v>
      </c>
      <c r="E188" s="27"/>
      <c r="F188" s="20">
        <f t="shared" ref="F188:F220" si="3">G188/I188</f>
        <v>50</v>
      </c>
      <c r="G188" s="24">
        <v>1498</v>
      </c>
      <c r="H188" s="16">
        <f t="shared" ref="H188:H220" si="4">H187-G188</f>
        <v>-17160.139999999992</v>
      </c>
      <c r="I188" s="20">
        <v>29.96</v>
      </c>
      <c r="J188" s="18"/>
      <c r="K188" s="18"/>
      <c r="L188" s="18"/>
      <c r="M188" s="32"/>
    </row>
    <row r="189" spans="1:13" ht="24" customHeight="1" thickBot="1">
      <c r="A189" s="21">
        <v>46070</v>
      </c>
      <c r="E189" s="23"/>
      <c r="F189" s="20">
        <f t="shared" si="3"/>
        <v>0</v>
      </c>
      <c r="H189" s="16">
        <f t="shared" si="4"/>
        <v>-17160.139999999992</v>
      </c>
      <c r="I189" s="20">
        <v>29.96</v>
      </c>
      <c r="J189" s="18"/>
      <c r="K189" s="18"/>
      <c r="L189" s="18"/>
      <c r="M189" s="32"/>
    </row>
    <row r="190" spans="1:13" ht="24" customHeight="1" thickBot="1">
      <c r="A190" s="21">
        <v>46070</v>
      </c>
      <c r="E190" s="23"/>
      <c r="F190" s="20">
        <f t="shared" si="3"/>
        <v>0</v>
      </c>
      <c r="H190" s="16">
        <f t="shared" si="4"/>
        <v>-17160.139999999992</v>
      </c>
      <c r="I190" s="20">
        <v>29.96</v>
      </c>
      <c r="J190" s="18"/>
      <c r="K190" s="18"/>
      <c r="L190" s="18"/>
      <c r="M190" s="32"/>
    </row>
    <row r="191" spans="1:13" ht="24" customHeight="1" thickBot="1">
      <c r="A191" s="21">
        <v>46070</v>
      </c>
      <c r="E191" s="23"/>
      <c r="F191" s="20">
        <f t="shared" si="3"/>
        <v>0</v>
      </c>
      <c r="H191" s="16">
        <f t="shared" si="4"/>
        <v>-17160.139999999992</v>
      </c>
      <c r="I191" s="20">
        <v>29.96</v>
      </c>
      <c r="J191" s="18"/>
      <c r="K191" s="18"/>
      <c r="L191" s="18"/>
      <c r="M191" s="32"/>
    </row>
    <row r="192" spans="1:13" ht="24" customHeight="1" thickBot="1">
      <c r="A192" s="21">
        <v>46070</v>
      </c>
      <c r="E192" s="23"/>
      <c r="F192" s="20">
        <f t="shared" si="3"/>
        <v>0</v>
      </c>
      <c r="H192" s="16">
        <f t="shared" si="4"/>
        <v>-17160.139999999992</v>
      </c>
      <c r="I192" s="20">
        <v>29.96</v>
      </c>
      <c r="J192" s="18"/>
      <c r="K192" s="18"/>
      <c r="L192" s="18"/>
      <c r="M192" s="32"/>
    </row>
    <row r="193" spans="1:13" ht="24" customHeight="1" thickBot="1">
      <c r="A193" s="21">
        <v>46070</v>
      </c>
      <c r="E193" s="23"/>
      <c r="F193" s="20">
        <f t="shared" si="3"/>
        <v>0</v>
      </c>
      <c r="H193" s="16">
        <f t="shared" si="4"/>
        <v>-17160.139999999992</v>
      </c>
      <c r="I193" s="20">
        <v>29.96</v>
      </c>
      <c r="J193" s="18"/>
      <c r="K193" s="18"/>
      <c r="L193" s="18"/>
      <c r="M193" s="32"/>
    </row>
    <row r="194" spans="1:13" ht="24" customHeight="1" thickBot="1">
      <c r="A194" s="21">
        <v>46070</v>
      </c>
      <c r="E194" s="23"/>
      <c r="F194" s="20">
        <f t="shared" si="3"/>
        <v>0</v>
      </c>
      <c r="H194" s="16">
        <f t="shared" si="4"/>
        <v>-17160.139999999992</v>
      </c>
      <c r="I194" s="20">
        <v>29.96</v>
      </c>
      <c r="J194" s="18"/>
      <c r="K194" s="18"/>
      <c r="L194" s="18"/>
      <c r="M194" s="32"/>
    </row>
    <row r="195" spans="1:13" ht="24" customHeight="1" thickBot="1">
      <c r="A195" s="21">
        <v>46070</v>
      </c>
      <c r="E195" s="23"/>
      <c r="F195" s="20">
        <f t="shared" si="3"/>
        <v>0</v>
      </c>
      <c r="H195" s="16">
        <f t="shared" si="4"/>
        <v>-17160.139999999992</v>
      </c>
      <c r="I195" s="20">
        <v>29.96</v>
      </c>
      <c r="J195" s="18"/>
      <c r="K195" s="18"/>
      <c r="L195" s="18"/>
      <c r="M195" s="32"/>
    </row>
    <row r="196" spans="1:13" ht="24" customHeight="1" thickBot="1">
      <c r="A196" s="21">
        <v>46070</v>
      </c>
      <c r="E196" s="23"/>
      <c r="F196" s="20">
        <f t="shared" si="3"/>
        <v>0</v>
      </c>
      <c r="H196" s="16">
        <f t="shared" si="4"/>
        <v>-17160.139999999992</v>
      </c>
      <c r="I196" s="20">
        <v>29.96</v>
      </c>
      <c r="J196" s="18"/>
      <c r="K196" s="18"/>
      <c r="L196" s="18"/>
      <c r="M196" s="32"/>
    </row>
    <row r="197" spans="1:13" ht="24" customHeight="1" thickBot="1">
      <c r="A197" s="21">
        <v>46070</v>
      </c>
      <c r="E197" s="23"/>
      <c r="F197" s="20">
        <f t="shared" si="3"/>
        <v>0</v>
      </c>
      <c r="H197" s="16">
        <f t="shared" si="4"/>
        <v>-17160.139999999992</v>
      </c>
      <c r="I197" s="20">
        <v>29.96</v>
      </c>
      <c r="J197" s="18"/>
      <c r="K197" s="18"/>
      <c r="L197" s="18"/>
      <c r="M197" s="32"/>
    </row>
    <row r="198" spans="1:13" ht="24" customHeight="1" thickBot="1">
      <c r="A198" s="21">
        <v>46070</v>
      </c>
      <c r="E198" s="23"/>
      <c r="F198" s="20">
        <f t="shared" si="3"/>
        <v>0</v>
      </c>
      <c r="H198" s="16">
        <f t="shared" si="4"/>
        <v>-17160.139999999992</v>
      </c>
      <c r="I198" s="20">
        <v>29.96</v>
      </c>
      <c r="J198" s="18"/>
      <c r="K198" s="18"/>
      <c r="L198" s="18"/>
      <c r="M198" s="32"/>
    </row>
    <row r="199" spans="1:13" ht="24" customHeight="1" thickBot="1">
      <c r="A199" s="21">
        <v>46070</v>
      </c>
      <c r="E199" s="23"/>
      <c r="F199" s="20">
        <f t="shared" si="3"/>
        <v>0</v>
      </c>
      <c r="H199" s="16">
        <f t="shared" si="4"/>
        <v>-17160.139999999992</v>
      </c>
      <c r="I199" s="20">
        <v>29.96</v>
      </c>
      <c r="J199" s="18"/>
      <c r="K199" s="18"/>
      <c r="L199" s="18"/>
      <c r="M199" s="32"/>
    </row>
    <row r="200" spans="1:13" ht="24" customHeight="1" thickBot="1">
      <c r="A200" s="21">
        <v>46070</v>
      </c>
      <c r="E200" s="23"/>
      <c r="F200" s="20">
        <f t="shared" si="3"/>
        <v>0</v>
      </c>
      <c r="H200" s="16">
        <f t="shared" si="4"/>
        <v>-17160.139999999992</v>
      </c>
      <c r="I200" s="20">
        <v>29.96</v>
      </c>
      <c r="J200" s="18"/>
      <c r="K200" s="18"/>
      <c r="L200" s="18"/>
      <c r="M200" s="32"/>
    </row>
    <row r="201" spans="1:13" ht="24" customHeight="1" thickBot="1">
      <c r="A201" s="21">
        <v>46070</v>
      </c>
      <c r="E201" s="23"/>
      <c r="F201" s="20">
        <f t="shared" si="3"/>
        <v>0</v>
      </c>
      <c r="H201" s="16">
        <f t="shared" si="4"/>
        <v>-17160.139999999992</v>
      </c>
      <c r="I201" s="20">
        <v>29.96</v>
      </c>
      <c r="J201" s="18"/>
      <c r="K201" s="18"/>
      <c r="L201" s="18"/>
      <c r="M201" s="32"/>
    </row>
    <row r="202" spans="1:13" ht="24" customHeight="1" thickBot="1">
      <c r="A202" s="21">
        <v>46070</v>
      </c>
      <c r="E202" s="23"/>
      <c r="F202" s="20">
        <f t="shared" si="3"/>
        <v>0</v>
      </c>
      <c r="H202" s="16">
        <f t="shared" si="4"/>
        <v>-17160.139999999992</v>
      </c>
      <c r="I202" s="20">
        <v>29.96</v>
      </c>
      <c r="J202" s="18"/>
      <c r="K202" s="18"/>
      <c r="L202" s="18"/>
      <c r="M202" s="32"/>
    </row>
    <row r="203" spans="1:13" ht="24" customHeight="1" thickBot="1">
      <c r="A203" s="21">
        <v>46070</v>
      </c>
      <c r="E203" s="23"/>
      <c r="F203" s="20">
        <f t="shared" si="3"/>
        <v>0</v>
      </c>
      <c r="H203" s="16">
        <f t="shared" si="4"/>
        <v>-17160.139999999992</v>
      </c>
      <c r="I203" s="20">
        <v>29.96</v>
      </c>
      <c r="J203" s="18"/>
      <c r="K203" s="18"/>
      <c r="L203" s="18"/>
      <c r="M203" s="32"/>
    </row>
    <row r="204" spans="1:13" ht="24" customHeight="1" thickBot="1">
      <c r="A204" s="21">
        <v>46070</v>
      </c>
      <c r="E204" s="23"/>
      <c r="F204" s="20">
        <f t="shared" si="3"/>
        <v>0</v>
      </c>
      <c r="H204" s="16">
        <f t="shared" si="4"/>
        <v>-17160.139999999992</v>
      </c>
      <c r="I204" s="20">
        <v>29.96</v>
      </c>
      <c r="J204" s="18"/>
      <c r="K204" s="18"/>
      <c r="L204" s="18"/>
      <c r="M204" s="32"/>
    </row>
    <row r="205" spans="1:13" ht="24" customHeight="1" thickBot="1">
      <c r="A205" s="21">
        <v>46070</v>
      </c>
      <c r="E205" s="23"/>
      <c r="F205" s="20">
        <f t="shared" si="3"/>
        <v>0</v>
      </c>
      <c r="H205" s="16">
        <f t="shared" si="4"/>
        <v>-17160.139999999992</v>
      </c>
      <c r="I205" s="20">
        <v>29.96</v>
      </c>
      <c r="J205" s="18"/>
      <c r="K205" s="18"/>
      <c r="L205" s="18"/>
      <c r="M205" s="32"/>
    </row>
    <row r="206" spans="1:13" ht="24" customHeight="1" thickBot="1">
      <c r="A206" s="21">
        <v>46070</v>
      </c>
      <c r="E206" s="23"/>
      <c r="F206" s="20">
        <f t="shared" si="3"/>
        <v>0</v>
      </c>
      <c r="H206" s="16">
        <f t="shared" si="4"/>
        <v>-17160.139999999992</v>
      </c>
      <c r="I206" s="20">
        <v>29.96</v>
      </c>
      <c r="J206" s="18"/>
      <c r="K206" s="18"/>
      <c r="L206" s="18"/>
      <c r="M206" s="32"/>
    </row>
    <row r="207" spans="1:13" ht="24" customHeight="1" thickBot="1">
      <c r="A207" s="21">
        <v>46070</v>
      </c>
      <c r="E207" s="23"/>
      <c r="F207" s="20">
        <f t="shared" si="3"/>
        <v>0</v>
      </c>
      <c r="H207" s="16">
        <f t="shared" si="4"/>
        <v>-17160.139999999992</v>
      </c>
      <c r="I207" s="20">
        <v>29.96</v>
      </c>
      <c r="J207" s="18"/>
      <c r="K207" s="18"/>
      <c r="L207" s="18"/>
      <c r="M207" s="32"/>
    </row>
    <row r="208" spans="1:13" ht="24" customHeight="1" thickBot="1">
      <c r="A208" s="21">
        <v>46070</v>
      </c>
      <c r="E208" s="23"/>
      <c r="F208" s="20">
        <f t="shared" si="3"/>
        <v>0</v>
      </c>
      <c r="H208" s="16">
        <f t="shared" si="4"/>
        <v>-17160.139999999992</v>
      </c>
      <c r="I208" s="20">
        <v>29.96</v>
      </c>
      <c r="J208" s="18"/>
      <c r="K208" s="18"/>
      <c r="L208" s="18"/>
      <c r="M208" s="32"/>
    </row>
    <row r="209" spans="1:13" ht="24" customHeight="1" thickBot="1">
      <c r="A209" s="21">
        <v>46070</v>
      </c>
      <c r="E209" s="23"/>
      <c r="F209" s="20">
        <f t="shared" si="3"/>
        <v>0</v>
      </c>
      <c r="H209" s="16">
        <f t="shared" si="4"/>
        <v>-17160.139999999992</v>
      </c>
      <c r="I209" s="20">
        <v>29.96</v>
      </c>
      <c r="J209" s="18"/>
      <c r="K209" s="18"/>
      <c r="L209" s="18"/>
      <c r="M209" s="32"/>
    </row>
    <row r="210" spans="1:13" ht="24" customHeight="1" thickBot="1">
      <c r="A210" s="21">
        <v>46070</v>
      </c>
      <c r="E210" s="23"/>
      <c r="F210" s="20">
        <f t="shared" si="3"/>
        <v>0</v>
      </c>
      <c r="H210" s="16">
        <f t="shared" si="4"/>
        <v>-17160.139999999992</v>
      </c>
      <c r="I210" s="20">
        <v>29.96</v>
      </c>
      <c r="J210" s="18"/>
      <c r="K210" s="18"/>
      <c r="L210" s="18"/>
      <c r="M210" s="32"/>
    </row>
    <row r="211" spans="1:13" ht="24" customHeight="1" thickBot="1">
      <c r="A211" s="21">
        <v>46070</v>
      </c>
      <c r="E211" s="23"/>
      <c r="F211" s="20">
        <f t="shared" si="3"/>
        <v>0</v>
      </c>
      <c r="H211" s="16">
        <f t="shared" si="4"/>
        <v>-17160.139999999992</v>
      </c>
      <c r="I211" s="20">
        <v>29.96</v>
      </c>
      <c r="J211" s="18"/>
      <c r="K211" s="18"/>
      <c r="L211" s="18"/>
      <c r="M211" s="32"/>
    </row>
    <row r="212" spans="1:13" ht="24" customHeight="1" thickBot="1">
      <c r="A212" s="21">
        <v>46070</v>
      </c>
      <c r="E212" s="23"/>
      <c r="F212" s="20">
        <f t="shared" si="3"/>
        <v>0</v>
      </c>
      <c r="H212" s="16">
        <f t="shared" si="4"/>
        <v>-17160.139999999992</v>
      </c>
      <c r="I212" s="20">
        <v>29.96</v>
      </c>
      <c r="J212" s="18"/>
      <c r="K212" s="18"/>
      <c r="L212" s="18"/>
      <c r="M212" s="32"/>
    </row>
    <row r="213" spans="1:13" ht="24" customHeight="1" thickBot="1">
      <c r="A213" s="21">
        <v>46070</v>
      </c>
      <c r="E213" s="23"/>
      <c r="F213" s="20">
        <f t="shared" si="3"/>
        <v>0</v>
      </c>
      <c r="H213" s="16">
        <f t="shared" si="4"/>
        <v>-17160.139999999992</v>
      </c>
      <c r="I213" s="20">
        <v>29.96</v>
      </c>
      <c r="J213" s="18"/>
      <c r="K213" s="18"/>
      <c r="L213" s="18"/>
      <c r="M213" s="32"/>
    </row>
    <row r="214" spans="1:13" ht="24" customHeight="1" thickBot="1">
      <c r="A214" s="21">
        <v>46070</v>
      </c>
      <c r="E214" s="23"/>
      <c r="F214" s="20">
        <f t="shared" si="3"/>
        <v>0</v>
      </c>
      <c r="H214" s="16">
        <f t="shared" si="4"/>
        <v>-17160.139999999992</v>
      </c>
      <c r="I214" s="20">
        <v>29.96</v>
      </c>
      <c r="J214" s="18"/>
      <c r="K214" s="18"/>
      <c r="L214" s="18"/>
      <c r="M214" s="32"/>
    </row>
    <row r="215" spans="1:13" ht="24" customHeight="1" thickBot="1">
      <c r="A215" s="21">
        <v>46070</v>
      </c>
      <c r="E215" s="23"/>
      <c r="F215" s="20">
        <f t="shared" si="3"/>
        <v>0</v>
      </c>
      <c r="H215" s="16">
        <f t="shared" si="4"/>
        <v>-17160.139999999992</v>
      </c>
      <c r="I215" s="20">
        <v>29.96</v>
      </c>
      <c r="J215" s="18"/>
      <c r="K215" s="18"/>
      <c r="L215" s="18"/>
      <c r="M215" s="32"/>
    </row>
    <row r="216" spans="1:13" ht="24" customHeight="1" thickBot="1">
      <c r="A216" s="21">
        <v>46070</v>
      </c>
      <c r="E216" s="23"/>
      <c r="F216" s="20">
        <f t="shared" si="3"/>
        <v>0</v>
      </c>
      <c r="H216" s="16">
        <f t="shared" si="4"/>
        <v>-17160.139999999992</v>
      </c>
      <c r="I216" s="20">
        <v>29.96</v>
      </c>
      <c r="J216" s="18"/>
      <c r="K216" s="18"/>
      <c r="L216" s="18"/>
      <c r="M216" s="32"/>
    </row>
    <row r="217" spans="1:13" ht="24" customHeight="1" thickBot="1">
      <c r="A217" s="21">
        <v>46070</v>
      </c>
      <c r="E217" s="23"/>
      <c r="F217" s="20">
        <f t="shared" si="3"/>
        <v>0</v>
      </c>
      <c r="H217" s="16">
        <f t="shared" si="4"/>
        <v>-17160.139999999992</v>
      </c>
      <c r="I217" s="20">
        <v>29.96</v>
      </c>
      <c r="J217" s="18"/>
      <c r="K217" s="18"/>
      <c r="L217" s="18"/>
      <c r="M217" s="32"/>
    </row>
    <row r="218" spans="1:13" ht="24" customHeight="1" thickBot="1">
      <c r="A218" s="21">
        <v>46070</v>
      </c>
      <c r="E218" s="23"/>
      <c r="F218" s="20">
        <f t="shared" si="3"/>
        <v>0</v>
      </c>
      <c r="H218" s="16">
        <f t="shared" si="4"/>
        <v>-17160.139999999992</v>
      </c>
      <c r="I218" s="20">
        <v>29.96</v>
      </c>
      <c r="J218" s="18"/>
      <c r="K218" s="18"/>
      <c r="L218" s="18"/>
      <c r="M218" s="32"/>
    </row>
    <row r="219" spans="1:13" ht="24" customHeight="1" thickBot="1">
      <c r="A219" s="21">
        <v>46070</v>
      </c>
      <c r="E219" s="23"/>
      <c r="F219" s="20">
        <f t="shared" si="3"/>
        <v>0</v>
      </c>
      <c r="H219" s="16">
        <f t="shared" si="4"/>
        <v>-17160.139999999992</v>
      </c>
      <c r="I219" s="20">
        <v>29.96</v>
      </c>
      <c r="J219" s="18"/>
      <c r="K219" s="18"/>
      <c r="L219" s="18"/>
      <c r="M219" s="32"/>
    </row>
    <row r="220" spans="1:13" ht="24" customHeight="1" thickBot="1">
      <c r="A220" s="21">
        <v>46070</v>
      </c>
      <c r="E220" s="23"/>
      <c r="F220" s="20">
        <f t="shared" si="3"/>
        <v>0</v>
      </c>
      <c r="H220" s="16">
        <f t="shared" si="4"/>
        <v>-17160.139999999992</v>
      </c>
      <c r="I220" s="20">
        <v>29.96</v>
      </c>
      <c r="J220" s="18"/>
      <c r="K220" s="18"/>
      <c r="L220" s="18"/>
      <c r="M220" s="32"/>
    </row>
  </sheetData>
  <autoFilter ref="A2:Z220" xr:uid="{688A39DE-83AE-4A24-AFA8-51F2D059A7B1}">
    <filterColumn colId="6">
      <filters blank="1">
        <filter val="-"/>
        <filter val="1,000.00"/>
        <filter val="1,198.40"/>
        <filter val="1,448.00"/>
        <filter val="1,498.00"/>
        <filter val="1,797.60"/>
        <filter val="1,802.40"/>
        <filter val="180.00"/>
        <filter val="2,097.20"/>
        <filter val="2,217.00"/>
        <filter val="2,396.80"/>
        <filter val="2,696.40"/>
        <filter val="2,876.20"/>
        <filter val="2,936.10"/>
        <filter val="2,996.00"/>
        <filter val="3,265.60"/>
        <filter val="3,445.40"/>
        <filter val="3,595.20"/>
        <filter val="3,730.00"/>
        <filter val="3,970.00"/>
        <filter val="3,984.70"/>
        <filter val="4,070.00"/>
        <filter val="4,074.60"/>
        <filter val="4,200.00"/>
        <filter val="4,570.00"/>
        <filter val="4,673.80"/>
        <filter val="4,763.60"/>
        <filter val="4,900.00"/>
        <filter val="5,000.00"/>
        <filter val="50.00"/>
        <filter val="500.00"/>
      </filters>
    </filterColumn>
  </autoFilter>
  <conditionalFormatting sqref="H1:H1048576">
    <cfRule type="colorScale" priority="1">
      <colorScale>
        <cfvo type="num" val="0"/>
        <cfvo type="num" val="0"/>
        <color rgb="FFFF0000"/>
        <color rgb="FF66FF33"/>
      </colorScale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A39DE-83AE-4A24-AFA8-51F2D059A7B1}">
  <sheetPr filterMode="1">
    <tabColor rgb="FF66FF33"/>
  </sheetPr>
  <dimension ref="A1:M382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1" sqref="G1"/>
    </sheetView>
  </sheetViews>
  <sheetFormatPr defaultColWidth="35.7109375" defaultRowHeight="24" customHeight="1"/>
  <cols>
    <col min="1" max="1" width="11" style="6" bestFit="1" customWidth="1"/>
    <col min="2" max="2" width="9.5703125" style="5" customWidth="1"/>
    <col min="3" max="3" width="22.140625" style="5" customWidth="1"/>
    <col min="4" max="4" width="10.28515625" style="5" customWidth="1"/>
    <col min="5" max="5" width="11.42578125" style="8" customWidth="1"/>
    <col min="6" max="6" width="8.42578125" style="8" customWidth="1"/>
    <col min="7" max="7" width="12" style="8" bestFit="1" customWidth="1"/>
    <col min="8" max="8" width="12.42578125" style="13" customWidth="1"/>
    <col min="9" max="9" width="8.140625" style="8" customWidth="1"/>
    <col min="10" max="10" width="22.85546875" style="5" customWidth="1"/>
    <col min="11" max="11" width="23.85546875" style="5" customWidth="1"/>
    <col min="12" max="16384" width="35.7109375" style="5"/>
  </cols>
  <sheetData>
    <row r="1" spans="1:13" ht="27" customHeight="1">
      <c r="A1" s="9"/>
      <c r="B1" s="10"/>
      <c r="C1" s="10"/>
      <c r="D1" s="10"/>
      <c r="E1" s="11"/>
      <c r="F1" s="11"/>
      <c r="G1" s="11">
        <f>SUBTOTAL(109,G3:G999)</f>
        <v>663688.09999999974</v>
      </c>
      <c r="H1" s="11"/>
      <c r="I1" s="11"/>
      <c r="J1" s="10"/>
      <c r="K1" s="10"/>
      <c r="L1" s="10"/>
      <c r="M1" s="12"/>
    </row>
    <row r="2" spans="1:13" ht="24" customHeight="1">
      <c r="A2" s="9" t="s">
        <v>18</v>
      </c>
      <c r="B2" s="10" t="s">
        <v>22</v>
      </c>
      <c r="C2" s="10" t="s">
        <v>23</v>
      </c>
      <c r="D2" s="10" t="s">
        <v>33</v>
      </c>
      <c r="E2" s="11" t="s">
        <v>24</v>
      </c>
      <c r="F2" s="11" t="s">
        <v>25</v>
      </c>
      <c r="G2" s="11" t="s">
        <v>26</v>
      </c>
      <c r="H2" s="13" t="s">
        <v>27</v>
      </c>
      <c r="I2" s="11" t="s">
        <v>28</v>
      </c>
      <c r="J2" s="10" t="s">
        <v>29</v>
      </c>
      <c r="K2" s="10" t="s">
        <v>0</v>
      </c>
      <c r="L2" s="10" t="s">
        <v>30</v>
      </c>
      <c r="M2" s="12"/>
    </row>
    <row r="3" spans="1:13" s="22" customFormat="1" ht="24" customHeight="1" thickBot="1">
      <c r="A3" s="17" t="s">
        <v>20</v>
      </c>
      <c r="B3" s="18" t="s">
        <v>20</v>
      </c>
      <c r="C3" s="18" t="s">
        <v>20</v>
      </c>
      <c r="D3" s="18"/>
      <c r="E3" s="19" t="s">
        <v>31</v>
      </c>
      <c r="F3" s="20" t="s">
        <v>20</v>
      </c>
      <c r="G3" s="20" t="s">
        <v>20</v>
      </c>
      <c r="H3" s="16">
        <v>37842.559999999998</v>
      </c>
      <c r="I3" s="20" t="s">
        <v>20</v>
      </c>
      <c r="J3" s="18"/>
      <c r="K3" s="18"/>
      <c r="L3" s="18"/>
      <c r="M3" s="18"/>
    </row>
    <row r="4" spans="1:13" s="22" customFormat="1" ht="24" customHeight="1" thickBot="1">
      <c r="A4" s="21">
        <v>46027</v>
      </c>
      <c r="B4" s="22" t="s">
        <v>48</v>
      </c>
      <c r="C4" s="22" t="s">
        <v>17</v>
      </c>
      <c r="D4" s="22" t="s">
        <v>36</v>
      </c>
      <c r="E4" s="23">
        <v>156207</v>
      </c>
      <c r="F4" s="20">
        <v>50</v>
      </c>
      <c r="G4" s="31">
        <v>1523</v>
      </c>
      <c r="H4" s="16">
        <v>36319.56</v>
      </c>
      <c r="I4" s="20">
        <v>30.46</v>
      </c>
      <c r="J4" s="18"/>
      <c r="K4" s="18"/>
      <c r="L4" s="18"/>
      <c r="M4" s="32"/>
    </row>
    <row r="5" spans="1:13" s="22" customFormat="1" ht="24" customHeight="1" thickBot="1">
      <c r="A5" s="21">
        <v>46027</v>
      </c>
      <c r="B5" s="22" t="s">
        <v>55</v>
      </c>
      <c r="C5" s="22" t="s">
        <v>15</v>
      </c>
      <c r="D5" s="22" t="s">
        <v>34</v>
      </c>
      <c r="E5" s="23">
        <v>277356</v>
      </c>
      <c r="F5" s="20">
        <v>50</v>
      </c>
      <c r="G5" s="31">
        <v>1523</v>
      </c>
      <c r="H5" s="16">
        <v>34796.559999999998</v>
      </c>
      <c r="I5" s="20">
        <v>30.46</v>
      </c>
      <c r="J5" s="18"/>
      <c r="K5" s="18"/>
      <c r="L5" s="18"/>
      <c r="M5" s="32"/>
    </row>
    <row r="6" spans="1:13" s="22" customFormat="1" ht="24" customHeight="1" thickBot="1">
      <c r="A6" s="21">
        <v>46027</v>
      </c>
      <c r="B6" s="22" t="s">
        <v>49</v>
      </c>
      <c r="C6" s="22" t="s">
        <v>6</v>
      </c>
      <c r="D6" s="22" t="s">
        <v>36</v>
      </c>
      <c r="E6" s="23">
        <v>167078</v>
      </c>
      <c r="F6" s="20">
        <v>50</v>
      </c>
      <c r="G6" s="31">
        <v>1523</v>
      </c>
      <c r="H6" s="16">
        <v>33273.56</v>
      </c>
      <c r="I6" s="20">
        <v>30.46</v>
      </c>
      <c r="J6" s="18"/>
      <c r="K6" s="18"/>
      <c r="L6" s="18"/>
      <c r="M6" s="32"/>
    </row>
    <row r="7" spans="1:13" s="22" customFormat="1" ht="24" customHeight="1" thickBot="1">
      <c r="A7" s="21">
        <v>46027</v>
      </c>
      <c r="B7" s="22" t="s">
        <v>41</v>
      </c>
      <c r="C7" s="22" t="s">
        <v>9</v>
      </c>
      <c r="D7" s="22" t="s">
        <v>34</v>
      </c>
      <c r="E7" s="23">
        <v>919145</v>
      </c>
      <c r="F7" s="20">
        <v>59.999999999999993</v>
      </c>
      <c r="G7" s="31">
        <v>1827.6</v>
      </c>
      <c r="H7" s="16">
        <v>31445.96</v>
      </c>
      <c r="I7" s="20">
        <v>30.46</v>
      </c>
      <c r="J7" s="18"/>
      <c r="K7" s="18"/>
      <c r="L7" s="18"/>
      <c r="M7" s="32"/>
    </row>
    <row r="8" spans="1:13" s="22" customFormat="1" ht="24" customHeight="1" thickBot="1">
      <c r="A8" s="21">
        <v>46027</v>
      </c>
      <c r="B8" s="22" t="s">
        <v>51</v>
      </c>
      <c r="C8" s="22" t="s">
        <v>3</v>
      </c>
      <c r="D8" s="22" t="s">
        <v>34</v>
      </c>
      <c r="E8" s="23">
        <v>301998</v>
      </c>
      <c r="F8" s="20">
        <v>50</v>
      </c>
      <c r="G8" s="31">
        <v>1523</v>
      </c>
      <c r="H8" s="16">
        <v>29922.959999999999</v>
      </c>
      <c r="I8" s="20">
        <v>30.46</v>
      </c>
      <c r="J8" s="18"/>
      <c r="K8" s="18"/>
      <c r="L8" s="18"/>
      <c r="M8" s="32"/>
    </row>
    <row r="9" spans="1:13" s="22" customFormat="1" ht="24" customHeight="1" thickBot="1">
      <c r="A9" s="21">
        <v>46027</v>
      </c>
      <c r="B9" s="22" t="s">
        <v>53</v>
      </c>
      <c r="C9" s="22" t="s">
        <v>10</v>
      </c>
      <c r="D9" s="22" t="s">
        <v>34</v>
      </c>
      <c r="E9" s="23">
        <v>291094</v>
      </c>
      <c r="F9" s="20">
        <v>50</v>
      </c>
      <c r="G9" s="31">
        <v>1523</v>
      </c>
      <c r="H9" s="16">
        <v>28399.96</v>
      </c>
      <c r="I9" s="20">
        <v>30.46</v>
      </c>
      <c r="J9" s="18"/>
      <c r="K9" s="18"/>
      <c r="L9" s="18"/>
      <c r="M9" s="32"/>
    </row>
    <row r="10" spans="1:13" s="22" customFormat="1" ht="24" customHeight="1" thickBot="1">
      <c r="A10" s="21">
        <v>46027</v>
      </c>
      <c r="B10" s="22" t="s">
        <v>46</v>
      </c>
      <c r="C10" s="25" t="s">
        <v>47</v>
      </c>
      <c r="D10" s="22" t="s">
        <v>34</v>
      </c>
      <c r="E10" s="23">
        <v>234905</v>
      </c>
      <c r="F10" s="20">
        <v>50</v>
      </c>
      <c r="G10" s="31">
        <v>1523</v>
      </c>
      <c r="H10" s="16">
        <v>26876.959999999999</v>
      </c>
      <c r="I10" s="20">
        <v>30.46</v>
      </c>
      <c r="J10" s="18"/>
      <c r="K10" s="18"/>
      <c r="L10" s="18"/>
      <c r="M10" s="32"/>
    </row>
    <row r="11" spans="1:13" s="22" customFormat="1" ht="24" customHeight="1" thickBot="1">
      <c r="A11" s="21">
        <v>46027</v>
      </c>
      <c r="B11" s="22" t="s">
        <v>52</v>
      </c>
      <c r="C11" s="22" t="s">
        <v>4</v>
      </c>
      <c r="D11" s="22" t="s">
        <v>34</v>
      </c>
      <c r="E11" s="23">
        <v>169724</v>
      </c>
      <c r="F11" s="20">
        <v>50</v>
      </c>
      <c r="G11" s="31">
        <v>1523</v>
      </c>
      <c r="H11" s="16">
        <v>25353.96</v>
      </c>
      <c r="I11" s="20">
        <v>30.46</v>
      </c>
      <c r="J11" s="18"/>
      <c r="K11" s="18"/>
      <c r="L11" s="18"/>
      <c r="M11" s="32"/>
    </row>
    <row r="12" spans="1:13" s="22" customFormat="1" ht="24" customHeight="1" thickBot="1">
      <c r="A12" s="21">
        <v>46027</v>
      </c>
      <c r="B12" s="22" t="s">
        <v>39</v>
      </c>
      <c r="C12" s="22" t="s">
        <v>64</v>
      </c>
      <c r="D12" s="22" t="s">
        <v>34</v>
      </c>
      <c r="E12" s="23" t="s">
        <v>20</v>
      </c>
      <c r="F12" s="20">
        <v>16.414970453053183</v>
      </c>
      <c r="G12" s="31">
        <v>500</v>
      </c>
      <c r="H12" s="16">
        <v>24853.96</v>
      </c>
      <c r="I12" s="20">
        <v>30.46</v>
      </c>
      <c r="J12" s="18"/>
      <c r="K12" s="18"/>
      <c r="L12" s="18"/>
      <c r="M12" s="32"/>
    </row>
    <row r="13" spans="1:13" s="22" customFormat="1" ht="24" customHeight="1" thickBot="1">
      <c r="A13" s="21">
        <v>46027</v>
      </c>
      <c r="B13" s="22" t="s">
        <v>59</v>
      </c>
      <c r="C13" s="22" t="s">
        <v>11</v>
      </c>
      <c r="D13" s="22" t="s">
        <v>36</v>
      </c>
      <c r="E13" s="23">
        <v>232748</v>
      </c>
      <c r="F13" s="20">
        <v>50</v>
      </c>
      <c r="G13" s="31">
        <v>1523</v>
      </c>
      <c r="H13" s="16">
        <v>23330.959999999999</v>
      </c>
      <c r="I13" s="20">
        <v>30.46</v>
      </c>
      <c r="J13" s="18"/>
      <c r="K13" s="18"/>
      <c r="L13" s="18"/>
      <c r="M13" s="32"/>
    </row>
    <row r="14" spans="1:13" s="22" customFormat="1" ht="24" customHeight="1" thickBot="1">
      <c r="A14" s="21">
        <v>46027</v>
      </c>
      <c r="B14" s="25" t="s">
        <v>58</v>
      </c>
      <c r="C14" s="22" t="s">
        <v>14</v>
      </c>
      <c r="D14" s="22" t="s">
        <v>36</v>
      </c>
      <c r="E14" s="23">
        <v>197044</v>
      </c>
      <c r="F14" s="20">
        <v>50</v>
      </c>
      <c r="G14" s="31">
        <v>1523</v>
      </c>
      <c r="H14" s="16">
        <v>21807.96</v>
      </c>
      <c r="I14" s="20">
        <v>30.46</v>
      </c>
      <c r="J14" s="18"/>
      <c r="K14" s="18"/>
      <c r="L14" s="18"/>
      <c r="M14" s="32"/>
    </row>
    <row r="15" spans="1:13" s="22" customFormat="1" ht="24" customHeight="1" thickBot="1">
      <c r="A15" s="21">
        <v>46027</v>
      </c>
      <c r="B15" s="22" t="s">
        <v>48</v>
      </c>
      <c r="C15" s="22" t="s">
        <v>17</v>
      </c>
      <c r="D15" s="22" t="s">
        <v>34</v>
      </c>
      <c r="E15" s="23">
        <v>156392</v>
      </c>
      <c r="F15" s="20">
        <v>50</v>
      </c>
      <c r="G15" s="31">
        <v>1523</v>
      </c>
      <c r="H15" s="16">
        <v>20284.96</v>
      </c>
      <c r="I15" s="20">
        <v>30.46</v>
      </c>
      <c r="J15" s="18"/>
      <c r="K15" s="18"/>
      <c r="L15" s="18"/>
      <c r="M15" s="32"/>
    </row>
    <row r="16" spans="1:13" s="22" customFormat="1" ht="24" customHeight="1" thickBot="1">
      <c r="A16" s="21">
        <v>46028</v>
      </c>
      <c r="B16" s="22" t="s">
        <v>42</v>
      </c>
      <c r="C16" s="22" t="s">
        <v>32</v>
      </c>
      <c r="D16" s="22" t="s">
        <v>34</v>
      </c>
      <c r="E16" s="23">
        <v>271232</v>
      </c>
      <c r="F16" s="20">
        <v>50</v>
      </c>
      <c r="G16" s="31">
        <v>1523</v>
      </c>
      <c r="H16" s="16">
        <v>18761.96</v>
      </c>
      <c r="I16" s="20">
        <v>30.46</v>
      </c>
      <c r="J16" s="18"/>
      <c r="K16" s="18"/>
      <c r="L16" s="18"/>
      <c r="M16" s="32"/>
    </row>
    <row r="17" spans="1:13" s="22" customFormat="1" ht="24" customHeight="1" thickBot="1">
      <c r="A17" s="21">
        <v>46028</v>
      </c>
      <c r="B17" s="22" t="s">
        <v>54</v>
      </c>
      <c r="C17" s="22" t="s">
        <v>16</v>
      </c>
      <c r="D17" s="22" t="s">
        <v>34</v>
      </c>
      <c r="E17" s="23">
        <v>232009</v>
      </c>
      <c r="F17" s="20">
        <v>50</v>
      </c>
      <c r="G17" s="31">
        <v>1523</v>
      </c>
      <c r="H17" s="16">
        <v>17238.96</v>
      </c>
      <c r="I17" s="20">
        <v>30.46</v>
      </c>
      <c r="J17" s="18"/>
      <c r="K17" s="18"/>
      <c r="L17" s="18"/>
      <c r="M17" s="32"/>
    </row>
    <row r="18" spans="1:13" s="22" customFormat="1" ht="24" customHeight="1" thickBot="1">
      <c r="A18" s="21">
        <v>46028</v>
      </c>
      <c r="B18" s="22" t="s">
        <v>52</v>
      </c>
      <c r="C18" s="22" t="s">
        <v>4</v>
      </c>
      <c r="D18" s="22" t="s">
        <v>34</v>
      </c>
      <c r="E18" s="23">
        <v>169885</v>
      </c>
      <c r="F18" s="20">
        <v>50</v>
      </c>
      <c r="G18" s="31">
        <v>1523</v>
      </c>
      <c r="H18" s="16">
        <v>15715.96</v>
      </c>
      <c r="I18" s="20">
        <v>30.46</v>
      </c>
      <c r="J18" s="18"/>
      <c r="K18" s="18"/>
      <c r="L18" s="18"/>
      <c r="M18" s="32"/>
    </row>
    <row r="19" spans="1:13" s="22" customFormat="1" ht="24" customHeight="1" thickBot="1">
      <c r="A19" s="21">
        <v>46028</v>
      </c>
      <c r="B19" s="22" t="s">
        <v>59</v>
      </c>
      <c r="C19" s="22" t="s">
        <v>11</v>
      </c>
      <c r="D19" s="22" t="s">
        <v>35</v>
      </c>
      <c r="E19" s="23">
        <v>232860</v>
      </c>
      <c r="F19" s="20">
        <v>50</v>
      </c>
      <c r="G19" s="31">
        <v>1523</v>
      </c>
      <c r="H19" s="16">
        <v>14192.96</v>
      </c>
      <c r="I19" s="20">
        <v>30.46</v>
      </c>
      <c r="J19" s="18"/>
      <c r="K19" s="18"/>
      <c r="L19" s="18"/>
      <c r="M19" s="32"/>
    </row>
    <row r="20" spans="1:13" s="22" customFormat="1" ht="24" customHeight="1" thickBot="1">
      <c r="A20" s="21">
        <v>46028</v>
      </c>
      <c r="B20" s="22" t="s">
        <v>49</v>
      </c>
      <c r="C20" s="22" t="s">
        <v>6</v>
      </c>
      <c r="D20" s="22" t="s">
        <v>35</v>
      </c>
      <c r="E20" s="23">
        <v>167265</v>
      </c>
      <c r="F20" s="20">
        <v>50</v>
      </c>
      <c r="G20" s="31">
        <v>1523</v>
      </c>
      <c r="H20" s="16">
        <v>12669.96</v>
      </c>
      <c r="I20" s="20">
        <v>30.46</v>
      </c>
      <c r="J20" s="18"/>
      <c r="K20" s="18"/>
      <c r="L20" s="18"/>
      <c r="M20" s="32"/>
    </row>
    <row r="21" spans="1:13" s="22" customFormat="1" ht="24" customHeight="1" thickBot="1">
      <c r="A21" s="21">
        <v>46028</v>
      </c>
      <c r="B21" s="22" t="s">
        <v>60</v>
      </c>
      <c r="C21" s="22" t="s">
        <v>2</v>
      </c>
      <c r="D21" s="22" t="s">
        <v>34</v>
      </c>
      <c r="E21" s="23">
        <v>144957</v>
      </c>
      <c r="F21" s="20">
        <v>50</v>
      </c>
      <c r="G21" s="31">
        <v>1523</v>
      </c>
      <c r="H21" s="16">
        <v>11146.96</v>
      </c>
      <c r="I21" s="20">
        <v>30.46</v>
      </c>
      <c r="J21" s="18"/>
      <c r="K21" s="18"/>
      <c r="L21" s="18"/>
      <c r="M21" s="32"/>
    </row>
    <row r="22" spans="1:13" s="22" customFormat="1" ht="24" customHeight="1" thickBot="1">
      <c r="A22" s="21">
        <v>46028</v>
      </c>
      <c r="B22" s="22" t="s">
        <v>50</v>
      </c>
      <c r="C22" s="22" t="s">
        <v>5</v>
      </c>
      <c r="D22" s="22" t="s">
        <v>34</v>
      </c>
      <c r="E22" s="23">
        <v>194087</v>
      </c>
      <c r="F22" s="20">
        <v>50</v>
      </c>
      <c r="G22" s="31">
        <v>1523</v>
      </c>
      <c r="H22" s="16">
        <v>9623.9599999999991</v>
      </c>
      <c r="I22" s="20">
        <v>30.46</v>
      </c>
      <c r="J22" s="18"/>
      <c r="K22" s="18"/>
      <c r="L22" s="18"/>
      <c r="M22" s="32"/>
    </row>
    <row r="23" spans="1:13" s="22" customFormat="1" ht="24" customHeight="1" thickBot="1">
      <c r="A23" s="21">
        <v>46028</v>
      </c>
      <c r="B23" s="22" t="s">
        <v>41</v>
      </c>
      <c r="C23" s="22" t="s">
        <v>9</v>
      </c>
      <c r="D23" s="22" t="s">
        <v>34</v>
      </c>
      <c r="E23" s="23">
        <v>919312</v>
      </c>
      <c r="F23" s="20">
        <v>59.999999999999993</v>
      </c>
      <c r="G23" s="31">
        <v>1827.6</v>
      </c>
      <c r="H23" s="16">
        <v>7796.3599999999988</v>
      </c>
      <c r="I23" s="20">
        <v>30.46</v>
      </c>
      <c r="J23" s="18"/>
      <c r="K23" s="18"/>
      <c r="L23" s="18"/>
      <c r="M23" s="32"/>
    </row>
    <row r="24" spans="1:13" s="22" customFormat="1" ht="24" customHeight="1" thickBot="1">
      <c r="A24" s="21">
        <v>46028</v>
      </c>
      <c r="B24" s="22" t="s">
        <v>55</v>
      </c>
      <c r="C24" s="22" t="s">
        <v>15</v>
      </c>
      <c r="D24" s="22" t="s">
        <v>34</v>
      </c>
      <c r="E24" s="23">
        <v>277516</v>
      </c>
      <c r="F24" s="20">
        <v>50</v>
      </c>
      <c r="G24" s="31">
        <v>1523</v>
      </c>
      <c r="H24" s="16">
        <v>6273.3599999999988</v>
      </c>
      <c r="I24" s="20">
        <v>30.46</v>
      </c>
      <c r="J24" s="18"/>
      <c r="K24" s="18"/>
      <c r="L24" s="18"/>
      <c r="M24" s="32"/>
    </row>
    <row r="25" spans="1:13" s="22" customFormat="1" ht="24" customHeight="1" thickBot="1">
      <c r="A25" s="21">
        <v>46028</v>
      </c>
      <c r="B25" s="22" t="s">
        <v>53</v>
      </c>
      <c r="C25" s="22" t="s">
        <v>10</v>
      </c>
      <c r="D25" s="22" t="s">
        <v>34</v>
      </c>
      <c r="E25" s="23">
        <v>291210</v>
      </c>
      <c r="F25" s="20">
        <v>50</v>
      </c>
      <c r="G25" s="31">
        <v>1523</v>
      </c>
      <c r="H25" s="16">
        <v>4750.3599999999988</v>
      </c>
      <c r="I25" s="20">
        <v>30.46</v>
      </c>
      <c r="J25" s="18"/>
      <c r="K25" s="18"/>
      <c r="L25" s="18"/>
      <c r="M25" s="32"/>
    </row>
    <row r="26" spans="1:13" s="22" customFormat="1" ht="24" customHeight="1" thickBot="1">
      <c r="A26" s="21">
        <v>46028</v>
      </c>
      <c r="B26" s="22" t="s">
        <v>51</v>
      </c>
      <c r="C26" s="22" t="s">
        <v>3</v>
      </c>
      <c r="D26" s="22" t="s">
        <v>34</v>
      </c>
      <c r="E26" s="23">
        <v>302141</v>
      </c>
      <c r="F26" s="20">
        <v>50</v>
      </c>
      <c r="G26" s="31">
        <v>1523</v>
      </c>
      <c r="H26" s="16">
        <v>3227.3599999999988</v>
      </c>
      <c r="I26" s="20">
        <v>30.46</v>
      </c>
      <c r="J26" s="18"/>
      <c r="K26" s="18"/>
      <c r="L26" s="18"/>
      <c r="M26" s="32"/>
    </row>
    <row r="27" spans="1:13" s="22" customFormat="1" ht="24" customHeight="1" thickBot="1">
      <c r="A27" s="21">
        <v>46028</v>
      </c>
      <c r="B27" s="25" t="s">
        <v>63</v>
      </c>
      <c r="C27" s="25" t="s">
        <v>13</v>
      </c>
      <c r="D27" s="22" t="s">
        <v>36</v>
      </c>
      <c r="E27" s="23">
        <v>250287</v>
      </c>
      <c r="F27" s="20">
        <v>157.58371634931058</v>
      </c>
      <c r="G27" s="31">
        <v>4800</v>
      </c>
      <c r="H27" s="16">
        <v>-1572.6400000000012</v>
      </c>
      <c r="I27" s="20">
        <v>30.46</v>
      </c>
      <c r="J27" s="18"/>
      <c r="K27" s="18"/>
      <c r="L27" s="18"/>
      <c r="M27" s="32"/>
    </row>
    <row r="28" spans="1:13" s="22" customFormat="1" ht="24" customHeight="1" thickBot="1">
      <c r="A28" s="21">
        <v>46028</v>
      </c>
      <c r="B28" s="22" t="s">
        <v>42</v>
      </c>
      <c r="C28" s="22" t="s">
        <v>32</v>
      </c>
      <c r="D28" s="22" t="s">
        <v>36</v>
      </c>
      <c r="E28" s="23">
        <v>271289</v>
      </c>
      <c r="F28" s="20">
        <v>50</v>
      </c>
      <c r="G28" s="31">
        <v>1523</v>
      </c>
      <c r="H28" s="16">
        <v>-3095.6400000000012</v>
      </c>
      <c r="I28" s="20">
        <v>30.46</v>
      </c>
      <c r="J28" s="18"/>
      <c r="K28" s="18"/>
      <c r="L28" s="18"/>
      <c r="M28" s="32"/>
    </row>
    <row r="29" spans="1:13" s="22" customFormat="1" ht="24" customHeight="1" thickBot="1">
      <c r="A29" s="21">
        <v>46028</v>
      </c>
      <c r="B29" s="22" t="s">
        <v>45</v>
      </c>
      <c r="C29" s="22" t="s">
        <v>7</v>
      </c>
      <c r="D29" s="22" t="s">
        <v>35</v>
      </c>
      <c r="E29" s="23">
        <v>172339</v>
      </c>
      <c r="F29" s="20">
        <v>154.95732107682207</v>
      </c>
      <c r="G29" s="31">
        <v>4720</v>
      </c>
      <c r="H29" s="16">
        <v>-7815.6400000000012</v>
      </c>
      <c r="I29" s="20">
        <v>30.46</v>
      </c>
      <c r="J29" s="18"/>
      <c r="K29" s="18"/>
      <c r="L29" s="18"/>
      <c r="M29" s="32"/>
    </row>
    <row r="30" spans="1:13" s="22" customFormat="1" ht="24" customHeight="1" thickBot="1">
      <c r="A30" s="21">
        <v>46028</v>
      </c>
      <c r="B30" s="25" t="s">
        <v>58</v>
      </c>
      <c r="C30" s="22" t="s">
        <v>14</v>
      </c>
      <c r="D30" s="22" t="s">
        <v>36</v>
      </c>
      <c r="E30" s="23">
        <v>197155</v>
      </c>
      <c r="F30" s="20">
        <v>50</v>
      </c>
      <c r="G30" s="31">
        <v>1523</v>
      </c>
      <c r="H30" s="16">
        <v>-9338.6400000000012</v>
      </c>
      <c r="I30" s="20">
        <v>30.46</v>
      </c>
      <c r="J30" s="18"/>
      <c r="K30" s="18"/>
      <c r="L30" s="18"/>
      <c r="M30" s="32"/>
    </row>
    <row r="31" spans="1:13" s="22" customFormat="1" ht="24" customHeight="1" thickBot="1">
      <c r="A31" s="21">
        <v>46028</v>
      </c>
      <c r="B31" s="22" t="s">
        <v>46</v>
      </c>
      <c r="C31" s="25" t="s">
        <v>47</v>
      </c>
      <c r="D31" s="22" t="s">
        <v>36</v>
      </c>
      <c r="E31" s="23">
        <v>235073</v>
      </c>
      <c r="F31" s="20">
        <v>50</v>
      </c>
      <c r="G31" s="31">
        <v>1523</v>
      </c>
      <c r="H31" s="16">
        <v>-10861.640000000001</v>
      </c>
      <c r="I31" s="20">
        <v>30.46</v>
      </c>
      <c r="J31" s="18"/>
      <c r="K31" s="18"/>
      <c r="L31" s="18"/>
      <c r="M31" s="32"/>
    </row>
    <row r="32" spans="1:13" s="22" customFormat="1" ht="24" customHeight="1" thickBot="1">
      <c r="A32" s="21">
        <v>46028</v>
      </c>
      <c r="B32" s="22" t="s">
        <v>39</v>
      </c>
      <c r="C32" s="22" t="s">
        <v>64</v>
      </c>
      <c r="D32" s="22" t="s">
        <v>34</v>
      </c>
      <c r="E32" s="23" t="s">
        <v>20</v>
      </c>
      <c r="F32" s="20">
        <v>16.414970453053183</v>
      </c>
      <c r="G32" s="31">
        <v>500</v>
      </c>
      <c r="H32" s="16">
        <v>-11361.640000000001</v>
      </c>
      <c r="I32" s="20">
        <v>30.46</v>
      </c>
      <c r="J32" s="18"/>
      <c r="K32" s="18"/>
      <c r="L32" s="18"/>
      <c r="M32" s="32"/>
    </row>
    <row r="33" spans="1:13" s="22" customFormat="1" ht="24" customHeight="1" thickBot="1">
      <c r="A33" s="21">
        <v>46028</v>
      </c>
      <c r="B33" s="22" t="s">
        <v>59</v>
      </c>
      <c r="C33" s="22" t="s">
        <v>11</v>
      </c>
      <c r="D33" s="22" t="s">
        <v>36</v>
      </c>
      <c r="E33" s="23">
        <v>232967</v>
      </c>
      <c r="F33" s="20">
        <v>50</v>
      </c>
      <c r="G33" s="31">
        <v>1523</v>
      </c>
      <c r="H33" s="16">
        <v>-12884.640000000001</v>
      </c>
      <c r="I33" s="20">
        <v>30.46</v>
      </c>
      <c r="J33" s="18"/>
      <c r="K33" s="18"/>
      <c r="L33" s="18"/>
      <c r="M33" s="32"/>
    </row>
    <row r="34" spans="1:13" s="22" customFormat="1" ht="24" customHeight="1" thickBot="1">
      <c r="A34" s="21">
        <v>46028</v>
      </c>
      <c r="B34" s="22" t="s">
        <v>41</v>
      </c>
      <c r="C34" s="22" t="s">
        <v>9</v>
      </c>
      <c r="D34" s="22" t="s">
        <v>34</v>
      </c>
      <c r="E34" s="23">
        <v>919472</v>
      </c>
      <c r="F34" s="20">
        <v>59.999999999999993</v>
      </c>
      <c r="G34" s="31">
        <v>1827.6</v>
      </c>
      <c r="H34" s="16">
        <v>-14712.240000000002</v>
      </c>
      <c r="I34" s="20">
        <v>30.46</v>
      </c>
      <c r="J34" s="18"/>
      <c r="K34" s="18"/>
      <c r="L34" s="18"/>
      <c r="M34" s="32"/>
    </row>
    <row r="35" spans="1:13" s="22" customFormat="1" ht="24" customHeight="1" thickBot="1">
      <c r="A35" s="21">
        <v>46029</v>
      </c>
      <c r="B35" s="22" t="s">
        <v>49</v>
      </c>
      <c r="C35" s="22" t="s">
        <v>6</v>
      </c>
      <c r="D35" s="22" t="s">
        <v>35</v>
      </c>
      <c r="E35" s="23">
        <v>167451</v>
      </c>
      <c r="F35" s="20">
        <v>50</v>
      </c>
      <c r="G35" s="31">
        <v>1523</v>
      </c>
      <c r="H35" s="16">
        <v>-16235.240000000002</v>
      </c>
      <c r="I35" s="20">
        <v>30.46</v>
      </c>
      <c r="J35" s="18"/>
      <c r="K35" s="18"/>
      <c r="L35" s="18"/>
      <c r="M35" s="32"/>
    </row>
    <row r="36" spans="1:13" s="22" customFormat="1" ht="24" customHeight="1" thickBot="1">
      <c r="A36" s="21">
        <v>46029</v>
      </c>
      <c r="B36" s="22" t="s">
        <v>53</v>
      </c>
      <c r="C36" s="22" t="s">
        <v>10</v>
      </c>
      <c r="D36" s="22" t="s">
        <v>34</v>
      </c>
      <c r="E36" s="23">
        <v>291313</v>
      </c>
      <c r="F36" s="20">
        <v>90</v>
      </c>
      <c r="G36" s="31">
        <v>2741.4</v>
      </c>
      <c r="H36" s="16">
        <v>-18976.640000000003</v>
      </c>
      <c r="I36" s="20">
        <v>30.46</v>
      </c>
      <c r="J36" s="18"/>
      <c r="K36" s="18"/>
      <c r="L36" s="18"/>
      <c r="M36" s="32"/>
    </row>
    <row r="37" spans="1:13" s="22" customFormat="1" ht="24" customHeight="1" thickBot="1">
      <c r="A37" s="21">
        <v>46029</v>
      </c>
      <c r="B37" s="22" t="s">
        <v>60</v>
      </c>
      <c r="C37" s="22" t="s">
        <v>2</v>
      </c>
      <c r="D37" s="22" t="s">
        <v>34</v>
      </c>
      <c r="E37" s="23">
        <v>145092</v>
      </c>
      <c r="F37" s="20">
        <v>90</v>
      </c>
      <c r="G37" s="31">
        <v>2741.4</v>
      </c>
      <c r="H37" s="16">
        <v>-21718.040000000005</v>
      </c>
      <c r="I37" s="20">
        <v>30.46</v>
      </c>
      <c r="J37" s="18"/>
      <c r="K37" s="18"/>
      <c r="L37" s="18"/>
      <c r="M37" s="32"/>
    </row>
    <row r="38" spans="1:13" s="22" customFormat="1" ht="24" customHeight="1" thickBot="1">
      <c r="A38" s="21">
        <v>46029</v>
      </c>
      <c r="B38" s="25" t="s">
        <v>43</v>
      </c>
      <c r="C38" s="25" t="s">
        <v>1</v>
      </c>
      <c r="D38" s="22" t="s">
        <v>34</v>
      </c>
      <c r="E38" s="23">
        <v>167844</v>
      </c>
      <c r="F38" s="20">
        <v>50</v>
      </c>
      <c r="G38" s="31">
        <v>1523</v>
      </c>
      <c r="H38" s="16">
        <v>-23241.040000000005</v>
      </c>
      <c r="I38" s="20">
        <v>30.46</v>
      </c>
      <c r="J38" s="18"/>
      <c r="K38" s="18"/>
      <c r="L38" s="18"/>
      <c r="M38" s="32"/>
    </row>
    <row r="39" spans="1:13" s="22" customFormat="1" ht="24" customHeight="1" thickBot="1">
      <c r="A39" s="21">
        <v>46029</v>
      </c>
      <c r="B39" s="22" t="s">
        <v>48</v>
      </c>
      <c r="C39" s="22" t="s">
        <v>17</v>
      </c>
      <c r="D39" s="22" t="s">
        <v>34</v>
      </c>
      <c r="E39" s="23">
        <v>156542</v>
      </c>
      <c r="F39" s="20">
        <v>50</v>
      </c>
      <c r="G39" s="31">
        <v>1523</v>
      </c>
      <c r="H39" s="16">
        <v>-24764.040000000005</v>
      </c>
      <c r="I39" s="20">
        <v>30.46</v>
      </c>
      <c r="J39" s="18"/>
      <c r="K39" s="18"/>
      <c r="L39" s="18"/>
      <c r="M39" s="32"/>
    </row>
    <row r="40" spans="1:13" s="22" customFormat="1" ht="24" customHeight="1" thickBot="1">
      <c r="A40" s="21">
        <v>46029</v>
      </c>
      <c r="B40" s="22" t="s">
        <v>50</v>
      </c>
      <c r="C40" s="22" t="s">
        <v>5</v>
      </c>
      <c r="D40" s="22" t="s">
        <v>34</v>
      </c>
      <c r="E40" s="23">
        <v>194238</v>
      </c>
      <c r="F40" s="20">
        <v>50</v>
      </c>
      <c r="G40" s="31">
        <v>1523</v>
      </c>
      <c r="H40" s="16">
        <v>-26287.040000000005</v>
      </c>
      <c r="I40" s="20">
        <v>30.46</v>
      </c>
      <c r="J40" s="18"/>
      <c r="K40" s="18"/>
      <c r="L40" s="18"/>
      <c r="M40" s="32"/>
    </row>
    <row r="41" spans="1:13" s="22" customFormat="1" ht="24" customHeight="1" thickBot="1">
      <c r="A41" s="21">
        <v>46029</v>
      </c>
      <c r="B41" s="22" t="s">
        <v>54</v>
      </c>
      <c r="C41" s="22" t="s">
        <v>16</v>
      </c>
      <c r="D41" s="22" t="s">
        <v>35</v>
      </c>
      <c r="E41" s="23">
        <v>232181</v>
      </c>
      <c r="F41" s="20">
        <v>50</v>
      </c>
      <c r="G41" s="31">
        <v>1523</v>
      </c>
      <c r="H41" s="16">
        <v>-27810.040000000005</v>
      </c>
      <c r="I41" s="20">
        <v>30.46</v>
      </c>
      <c r="J41" s="18"/>
      <c r="K41" s="18"/>
      <c r="L41" s="18"/>
      <c r="M41" s="32"/>
    </row>
    <row r="42" spans="1:13" s="22" customFormat="1" ht="24" hidden="1" customHeight="1" thickBot="1">
      <c r="A42" s="21">
        <v>46029</v>
      </c>
      <c r="B42" s="26" t="s">
        <v>20</v>
      </c>
      <c r="C42" s="26" t="s">
        <v>20</v>
      </c>
      <c r="D42" s="26" t="s">
        <v>20</v>
      </c>
      <c r="E42" s="27" t="s">
        <v>65</v>
      </c>
      <c r="F42" s="20" t="s">
        <v>20</v>
      </c>
      <c r="G42" s="31">
        <v>-10000</v>
      </c>
      <c r="H42" s="16">
        <v>-17810.040000000005</v>
      </c>
      <c r="I42" s="20">
        <v>30.46</v>
      </c>
      <c r="J42" s="28" t="s">
        <v>75</v>
      </c>
      <c r="K42" s="18"/>
      <c r="L42" s="18"/>
      <c r="M42" s="32"/>
    </row>
    <row r="43" spans="1:13" s="22" customFormat="1" ht="24" hidden="1" customHeight="1" thickBot="1">
      <c r="A43" s="21">
        <v>46029</v>
      </c>
      <c r="B43" s="26" t="s">
        <v>20</v>
      </c>
      <c r="C43" s="26" t="s">
        <v>20</v>
      </c>
      <c r="D43" s="26" t="s">
        <v>20</v>
      </c>
      <c r="E43" s="27" t="s">
        <v>65</v>
      </c>
      <c r="F43" s="20" t="s">
        <v>20</v>
      </c>
      <c r="G43" s="31">
        <v>-60000</v>
      </c>
      <c r="H43" s="16">
        <v>42189.959999999992</v>
      </c>
      <c r="I43" s="20">
        <v>30.46</v>
      </c>
      <c r="J43" s="28"/>
      <c r="K43" s="18"/>
      <c r="L43" s="18"/>
      <c r="M43" s="32"/>
    </row>
    <row r="44" spans="1:13" s="22" customFormat="1" ht="24" customHeight="1" thickBot="1">
      <c r="A44" s="21">
        <v>46029</v>
      </c>
      <c r="B44" s="22" t="s">
        <v>55</v>
      </c>
      <c r="C44" s="22" t="s">
        <v>15</v>
      </c>
      <c r="D44" s="22" t="s">
        <v>36</v>
      </c>
      <c r="E44" s="23">
        <v>277686</v>
      </c>
      <c r="F44" s="20">
        <v>50</v>
      </c>
      <c r="G44" s="31">
        <v>1523</v>
      </c>
      <c r="H44" s="16">
        <v>40666.959999999992</v>
      </c>
      <c r="I44" s="20">
        <v>30.46</v>
      </c>
      <c r="J44" s="18"/>
      <c r="K44" s="18"/>
      <c r="L44" s="18"/>
      <c r="M44" s="32"/>
    </row>
    <row r="45" spans="1:13" s="22" customFormat="1" ht="24" customHeight="1" thickBot="1">
      <c r="A45" s="21">
        <v>46029</v>
      </c>
      <c r="B45" s="22" t="s">
        <v>42</v>
      </c>
      <c r="C45" s="22" t="s">
        <v>32</v>
      </c>
      <c r="D45" s="22" t="s">
        <v>34</v>
      </c>
      <c r="E45" s="23">
        <v>271356</v>
      </c>
      <c r="F45" s="20">
        <v>50</v>
      </c>
      <c r="G45" s="31">
        <v>1523</v>
      </c>
      <c r="H45" s="16">
        <v>39143.959999999992</v>
      </c>
      <c r="I45" s="20">
        <v>30.46</v>
      </c>
      <c r="J45" s="18"/>
      <c r="K45" s="18"/>
      <c r="L45" s="18"/>
      <c r="M45" s="32"/>
    </row>
    <row r="46" spans="1:13" s="22" customFormat="1" ht="24" customHeight="1" thickBot="1">
      <c r="A46" s="21">
        <v>46029</v>
      </c>
      <c r="B46" s="22" t="s">
        <v>46</v>
      </c>
      <c r="C46" s="25" t="s">
        <v>47</v>
      </c>
      <c r="D46" s="22" t="s">
        <v>36</v>
      </c>
      <c r="E46" s="23">
        <v>235220</v>
      </c>
      <c r="F46" s="20">
        <v>50</v>
      </c>
      <c r="G46" s="31">
        <v>1523</v>
      </c>
      <c r="H46" s="16">
        <v>37620.959999999992</v>
      </c>
      <c r="I46" s="20">
        <v>30.46</v>
      </c>
      <c r="J46" s="18"/>
      <c r="K46" s="18"/>
      <c r="L46" s="18"/>
      <c r="M46" s="32"/>
    </row>
    <row r="47" spans="1:13" s="22" customFormat="1" ht="24" customHeight="1" thickBot="1">
      <c r="A47" s="21">
        <v>46029</v>
      </c>
      <c r="B47" s="22" t="s">
        <v>57</v>
      </c>
      <c r="C47" s="22" t="s">
        <v>12</v>
      </c>
      <c r="D47" s="22" t="s">
        <v>34</v>
      </c>
      <c r="E47" s="23">
        <v>167546</v>
      </c>
      <c r="F47" s="20">
        <v>50</v>
      </c>
      <c r="G47" s="31">
        <v>1523</v>
      </c>
      <c r="H47" s="16">
        <v>36097.959999999992</v>
      </c>
      <c r="I47" s="20">
        <v>30.46</v>
      </c>
      <c r="J47" s="18"/>
      <c r="K47" s="18"/>
      <c r="L47" s="18"/>
      <c r="M47" s="32"/>
    </row>
    <row r="48" spans="1:13" s="22" customFormat="1" ht="24" customHeight="1" thickBot="1">
      <c r="A48" s="21">
        <v>46029</v>
      </c>
      <c r="B48" s="22" t="s">
        <v>44</v>
      </c>
      <c r="C48" s="22" t="s">
        <v>14</v>
      </c>
      <c r="D48" s="22" t="s">
        <v>34</v>
      </c>
      <c r="E48" s="23">
        <v>674482</v>
      </c>
      <c r="F48" s="20">
        <v>59.999999999999993</v>
      </c>
      <c r="G48" s="31">
        <v>1827.6</v>
      </c>
      <c r="H48" s="16">
        <v>34270.359999999993</v>
      </c>
      <c r="I48" s="20">
        <v>30.46</v>
      </c>
      <c r="J48" s="18"/>
      <c r="K48" s="18"/>
      <c r="L48" s="18"/>
      <c r="M48" s="32"/>
    </row>
    <row r="49" spans="1:13" s="22" customFormat="1" ht="24" customHeight="1" thickBot="1">
      <c r="A49" s="21">
        <v>46029</v>
      </c>
      <c r="B49" s="22" t="s">
        <v>52</v>
      </c>
      <c r="C49" s="22" t="s">
        <v>4</v>
      </c>
      <c r="D49" s="22" t="s">
        <v>35</v>
      </c>
      <c r="E49" s="23">
        <v>170039</v>
      </c>
      <c r="F49" s="20">
        <v>50</v>
      </c>
      <c r="G49" s="31">
        <v>1523</v>
      </c>
      <c r="H49" s="16">
        <v>32747.359999999993</v>
      </c>
      <c r="I49" s="20">
        <v>30.46</v>
      </c>
      <c r="J49" s="18"/>
      <c r="K49" s="18"/>
      <c r="L49" s="18"/>
      <c r="M49" s="32"/>
    </row>
    <row r="50" spans="1:13" s="22" customFormat="1" ht="24" customHeight="1" thickBot="1">
      <c r="A50" s="21">
        <v>46029</v>
      </c>
      <c r="B50" s="22" t="s">
        <v>51</v>
      </c>
      <c r="C50" s="22" t="s">
        <v>3</v>
      </c>
      <c r="D50" s="22" t="s">
        <v>36</v>
      </c>
      <c r="E50" s="23">
        <v>302247</v>
      </c>
      <c r="F50" s="20">
        <v>50</v>
      </c>
      <c r="G50" s="31">
        <v>1523</v>
      </c>
      <c r="H50" s="16">
        <v>31224.359999999993</v>
      </c>
      <c r="I50" s="20">
        <v>30.46</v>
      </c>
      <c r="J50" s="18"/>
      <c r="K50" s="18"/>
      <c r="L50" s="18"/>
      <c r="M50" s="32"/>
    </row>
    <row r="51" spans="1:13" s="22" customFormat="1" ht="24" customHeight="1" thickBot="1">
      <c r="A51" s="21">
        <v>46029</v>
      </c>
      <c r="B51" s="22" t="s">
        <v>53</v>
      </c>
      <c r="C51" s="22" t="s">
        <v>10</v>
      </c>
      <c r="D51" s="22" t="s">
        <v>66</v>
      </c>
      <c r="E51" s="23">
        <v>291618</v>
      </c>
      <c r="F51" s="20">
        <v>90</v>
      </c>
      <c r="G51" s="31">
        <v>2741.4</v>
      </c>
      <c r="H51" s="16">
        <v>28482.959999999992</v>
      </c>
      <c r="I51" s="20">
        <v>30.46</v>
      </c>
      <c r="J51" s="18"/>
      <c r="K51" s="18"/>
      <c r="L51" s="18"/>
      <c r="M51" s="32"/>
    </row>
    <row r="52" spans="1:13" s="22" customFormat="1" ht="24" customHeight="1" thickBot="1">
      <c r="A52" s="21">
        <v>46029</v>
      </c>
      <c r="B52" s="22" t="s">
        <v>39</v>
      </c>
      <c r="C52" s="22" t="s">
        <v>64</v>
      </c>
      <c r="D52" s="22" t="s">
        <v>34</v>
      </c>
      <c r="E52" s="23" t="s">
        <v>20</v>
      </c>
      <c r="F52" s="20">
        <v>16.414970453053183</v>
      </c>
      <c r="G52" s="31">
        <v>500</v>
      </c>
      <c r="H52" s="16">
        <v>27982.959999999992</v>
      </c>
      <c r="I52" s="20">
        <v>30.46</v>
      </c>
      <c r="J52" s="18"/>
      <c r="K52" s="18"/>
      <c r="L52" s="18"/>
      <c r="M52" s="32"/>
    </row>
    <row r="53" spans="1:13" s="22" customFormat="1" ht="24" customHeight="1" thickBot="1">
      <c r="A53" s="21">
        <v>46029</v>
      </c>
      <c r="B53" s="22" t="s">
        <v>48</v>
      </c>
      <c r="C53" s="22" t="s">
        <v>17</v>
      </c>
      <c r="D53" s="22" t="s">
        <v>34</v>
      </c>
      <c r="E53" s="23">
        <v>156677</v>
      </c>
      <c r="F53" s="20">
        <v>136.36572554169402</v>
      </c>
      <c r="G53" s="31">
        <v>4153.7</v>
      </c>
      <c r="H53" s="16">
        <v>23829.259999999991</v>
      </c>
      <c r="I53" s="20">
        <v>30.46</v>
      </c>
      <c r="J53" s="18"/>
      <c r="K53" s="18"/>
      <c r="L53" s="18"/>
      <c r="M53" s="32"/>
    </row>
    <row r="54" spans="1:13" s="22" customFormat="1" ht="24" customHeight="1" thickBot="1">
      <c r="A54" s="21">
        <v>46029</v>
      </c>
      <c r="B54" s="22" t="s">
        <v>57</v>
      </c>
      <c r="C54" s="22" t="s">
        <v>12</v>
      </c>
      <c r="D54" s="22" t="s">
        <v>35</v>
      </c>
      <c r="E54" s="23">
        <v>167725</v>
      </c>
      <c r="F54" s="20">
        <v>50</v>
      </c>
      <c r="G54" s="31">
        <v>1523</v>
      </c>
      <c r="H54" s="16">
        <v>22306.259999999991</v>
      </c>
      <c r="I54" s="20">
        <v>30.46</v>
      </c>
      <c r="J54" s="18"/>
      <c r="K54" s="18"/>
      <c r="L54" s="18"/>
      <c r="M54" s="32"/>
    </row>
    <row r="55" spans="1:13" s="22" customFormat="1" ht="24" customHeight="1" thickBot="1">
      <c r="A55" s="21">
        <v>46030</v>
      </c>
      <c r="B55" s="22" t="s">
        <v>42</v>
      </c>
      <c r="C55" s="22" t="s">
        <v>32</v>
      </c>
      <c r="D55" s="22" t="s">
        <v>35</v>
      </c>
      <c r="E55" s="23">
        <v>271488</v>
      </c>
      <c r="F55" s="20">
        <v>50</v>
      </c>
      <c r="G55" s="31">
        <v>1523</v>
      </c>
      <c r="H55" s="16">
        <v>20783.259999999991</v>
      </c>
      <c r="I55" s="20">
        <v>30.46</v>
      </c>
      <c r="J55" s="18"/>
      <c r="K55" s="18"/>
      <c r="L55" s="18"/>
      <c r="M55" s="32"/>
    </row>
    <row r="56" spans="1:13" s="22" customFormat="1" ht="24" customHeight="1" thickBot="1">
      <c r="A56" s="21">
        <v>46030</v>
      </c>
      <c r="B56" s="25" t="s">
        <v>63</v>
      </c>
      <c r="C56" s="25" t="s">
        <v>13</v>
      </c>
      <c r="D56" s="22" t="s">
        <v>36</v>
      </c>
      <c r="E56" s="23">
        <v>250601</v>
      </c>
      <c r="F56" s="20">
        <v>133.00065659881813</v>
      </c>
      <c r="G56" s="31">
        <v>4051.2</v>
      </c>
      <c r="H56" s="16">
        <v>16732.05999999999</v>
      </c>
      <c r="I56" s="20">
        <v>30.46</v>
      </c>
      <c r="J56" s="18"/>
      <c r="K56" s="18"/>
      <c r="L56" s="18"/>
      <c r="M56" s="32"/>
    </row>
    <row r="57" spans="1:13" s="22" customFormat="1" ht="24" customHeight="1" thickBot="1">
      <c r="A57" s="21">
        <v>46030</v>
      </c>
      <c r="B57" s="22" t="s">
        <v>52</v>
      </c>
      <c r="C57" s="22" t="s">
        <v>4</v>
      </c>
      <c r="D57" s="22" t="s">
        <v>35</v>
      </c>
      <c r="E57" s="23">
        <v>170154</v>
      </c>
      <c r="F57" s="20">
        <v>50</v>
      </c>
      <c r="G57" s="31">
        <v>1523</v>
      </c>
      <c r="H57" s="16">
        <v>15209.05999999999</v>
      </c>
      <c r="I57" s="20">
        <v>30.46</v>
      </c>
      <c r="J57" s="18"/>
      <c r="K57" s="18"/>
      <c r="L57" s="18"/>
      <c r="M57" s="32"/>
    </row>
    <row r="58" spans="1:13" s="22" customFormat="1" ht="24" customHeight="1" thickBot="1">
      <c r="A58" s="21">
        <v>46030</v>
      </c>
      <c r="B58" s="22" t="s">
        <v>54</v>
      </c>
      <c r="C58" s="22" t="s">
        <v>16</v>
      </c>
      <c r="D58" s="22" t="s">
        <v>34</v>
      </c>
      <c r="E58" s="23">
        <v>232314</v>
      </c>
      <c r="F58" s="20">
        <v>50</v>
      </c>
      <c r="G58" s="31">
        <v>1523</v>
      </c>
      <c r="H58" s="16">
        <v>13686.05999999999</v>
      </c>
      <c r="I58" s="20">
        <v>30.46</v>
      </c>
      <c r="J58" s="18"/>
      <c r="K58" s="18"/>
      <c r="L58" s="18"/>
      <c r="M58" s="32"/>
    </row>
    <row r="59" spans="1:13" s="22" customFormat="1" ht="24" customHeight="1" thickBot="1">
      <c r="A59" s="21">
        <v>46030</v>
      </c>
      <c r="B59" s="22" t="s">
        <v>55</v>
      </c>
      <c r="C59" s="22" t="s">
        <v>15</v>
      </c>
      <c r="D59" s="22" t="s">
        <v>34</v>
      </c>
      <c r="E59" s="23">
        <v>217856</v>
      </c>
      <c r="F59" s="20">
        <v>100</v>
      </c>
      <c r="G59" s="31">
        <v>3046</v>
      </c>
      <c r="H59" s="16">
        <v>10640.05999999999</v>
      </c>
      <c r="I59" s="20">
        <v>30.46</v>
      </c>
      <c r="J59" s="18"/>
      <c r="K59" s="18"/>
      <c r="L59" s="18"/>
      <c r="M59" s="32"/>
    </row>
    <row r="60" spans="1:13" s="22" customFormat="1" ht="24" customHeight="1" thickBot="1">
      <c r="A60" s="21">
        <v>46030</v>
      </c>
      <c r="B60" s="22" t="s">
        <v>61</v>
      </c>
      <c r="C60" s="22" t="s">
        <v>62</v>
      </c>
      <c r="D60" s="22" t="s">
        <v>36</v>
      </c>
      <c r="E60" s="23">
        <v>821446</v>
      </c>
      <c r="F60" s="20">
        <v>278.99868680236375</v>
      </c>
      <c r="G60" s="31">
        <v>8498.2999999999993</v>
      </c>
      <c r="H60" s="16">
        <v>2141.7599999999911</v>
      </c>
      <c r="I60" s="20">
        <v>30.46</v>
      </c>
      <c r="J60" s="18"/>
      <c r="K60" s="18"/>
      <c r="L60" s="18"/>
      <c r="M60" s="32"/>
    </row>
    <row r="61" spans="1:13" s="22" customFormat="1" ht="24" customHeight="1" thickBot="1">
      <c r="A61" s="21">
        <v>46030</v>
      </c>
      <c r="B61" s="22" t="s">
        <v>60</v>
      </c>
      <c r="C61" s="22" t="s">
        <v>2</v>
      </c>
      <c r="D61" s="22" t="s">
        <v>35</v>
      </c>
      <c r="E61" s="23">
        <v>145539</v>
      </c>
      <c r="F61" s="20">
        <v>90</v>
      </c>
      <c r="G61" s="31">
        <v>2741.4</v>
      </c>
      <c r="H61" s="16">
        <v>-599.64000000000897</v>
      </c>
      <c r="I61" s="20">
        <v>30.46</v>
      </c>
      <c r="J61" s="18"/>
      <c r="K61" s="18"/>
      <c r="L61" s="18"/>
      <c r="M61" s="32"/>
    </row>
    <row r="62" spans="1:13" s="22" customFormat="1" ht="24" customHeight="1" thickBot="1">
      <c r="A62" s="21">
        <v>46030</v>
      </c>
      <c r="B62" s="22" t="s">
        <v>49</v>
      </c>
      <c r="C62" s="22" t="s">
        <v>6</v>
      </c>
      <c r="D62" s="22" t="s">
        <v>36</v>
      </c>
      <c r="E62" s="23">
        <v>167595</v>
      </c>
      <c r="F62" s="20">
        <v>50</v>
      </c>
      <c r="G62" s="31">
        <v>1523</v>
      </c>
      <c r="H62" s="16">
        <v>-2122.640000000009</v>
      </c>
      <c r="I62" s="20">
        <v>30.46</v>
      </c>
      <c r="J62" s="18"/>
      <c r="K62" s="18"/>
      <c r="L62" s="18"/>
      <c r="M62" s="32"/>
    </row>
    <row r="63" spans="1:13" s="22" customFormat="1" ht="24" customHeight="1" thickBot="1">
      <c r="A63" s="21">
        <v>46030</v>
      </c>
      <c r="B63" s="22" t="s">
        <v>59</v>
      </c>
      <c r="C63" s="22" t="s">
        <v>11</v>
      </c>
      <c r="D63" s="22" t="s">
        <v>36</v>
      </c>
      <c r="E63" s="23">
        <v>233168</v>
      </c>
      <c r="F63" s="20">
        <v>50</v>
      </c>
      <c r="G63" s="31">
        <v>1523</v>
      </c>
      <c r="H63" s="16">
        <v>-3645.640000000009</v>
      </c>
      <c r="I63" s="20">
        <v>30.46</v>
      </c>
      <c r="J63" s="18"/>
      <c r="K63" s="18"/>
      <c r="L63" s="18"/>
      <c r="M63" s="32"/>
    </row>
    <row r="64" spans="1:13" s="22" customFormat="1" ht="24" customHeight="1" thickBot="1">
      <c r="A64" s="21">
        <v>46030</v>
      </c>
      <c r="B64" s="22" t="s">
        <v>50</v>
      </c>
      <c r="C64" s="22" t="s">
        <v>5</v>
      </c>
      <c r="D64" s="22" t="s">
        <v>34</v>
      </c>
      <c r="E64" s="23">
        <v>194358</v>
      </c>
      <c r="F64" s="20">
        <v>50</v>
      </c>
      <c r="G64" s="31">
        <v>1523</v>
      </c>
      <c r="H64" s="16">
        <v>-5168.6400000000085</v>
      </c>
      <c r="I64" s="20">
        <v>30.46</v>
      </c>
      <c r="J64" s="18"/>
      <c r="K64" s="18"/>
      <c r="L64" s="18"/>
      <c r="M64" s="32"/>
    </row>
    <row r="65" spans="1:13" s="22" customFormat="1" ht="24" customHeight="1" thickBot="1">
      <c r="A65" s="21">
        <v>46030</v>
      </c>
      <c r="B65" s="22" t="s">
        <v>43</v>
      </c>
      <c r="C65" s="22" t="s">
        <v>1</v>
      </c>
      <c r="D65" s="22" t="s">
        <v>35</v>
      </c>
      <c r="E65" s="23">
        <v>167994</v>
      </c>
      <c r="F65" s="20">
        <v>50</v>
      </c>
      <c r="G65" s="31">
        <v>1523</v>
      </c>
      <c r="H65" s="16">
        <v>-6691.6400000000085</v>
      </c>
      <c r="I65" s="20">
        <v>30.46</v>
      </c>
      <c r="J65" s="18"/>
      <c r="K65" s="18"/>
      <c r="L65" s="18"/>
      <c r="M65" s="32"/>
    </row>
    <row r="66" spans="1:13" s="22" customFormat="1" ht="24" customHeight="1" thickBot="1">
      <c r="A66" s="21">
        <v>46030</v>
      </c>
      <c r="B66" s="22" t="s">
        <v>51</v>
      </c>
      <c r="C66" s="22" t="s">
        <v>3</v>
      </c>
      <c r="D66" s="22" t="s">
        <v>36</v>
      </c>
      <c r="E66" s="23">
        <v>302381</v>
      </c>
      <c r="F66" s="20">
        <v>50</v>
      </c>
      <c r="G66" s="31">
        <v>1523</v>
      </c>
      <c r="H66" s="16">
        <v>-8214.6400000000085</v>
      </c>
      <c r="I66" s="20">
        <v>30.46</v>
      </c>
      <c r="J66" s="18"/>
      <c r="K66" s="18"/>
      <c r="L66" s="18"/>
      <c r="M66" s="32"/>
    </row>
    <row r="67" spans="1:13" s="22" customFormat="1" ht="24" customHeight="1" thickBot="1">
      <c r="A67" s="21">
        <v>46030</v>
      </c>
      <c r="B67" s="22" t="s">
        <v>46</v>
      </c>
      <c r="C67" s="25" t="s">
        <v>47</v>
      </c>
      <c r="D67" s="22" t="s">
        <v>34</v>
      </c>
      <c r="E67" s="23">
        <v>235274</v>
      </c>
      <c r="F67" s="20">
        <v>50</v>
      </c>
      <c r="G67" s="31">
        <v>1523</v>
      </c>
      <c r="H67" s="16">
        <v>-9737.6400000000085</v>
      </c>
      <c r="I67" s="20">
        <v>30.46</v>
      </c>
      <c r="J67" s="18"/>
      <c r="K67" s="18"/>
      <c r="L67" s="18"/>
      <c r="M67" s="32"/>
    </row>
    <row r="68" spans="1:13" s="22" customFormat="1" ht="24" customHeight="1" thickBot="1">
      <c r="A68" s="21">
        <v>46030</v>
      </c>
      <c r="B68" s="22" t="s">
        <v>53</v>
      </c>
      <c r="C68" s="22" t="s">
        <v>10</v>
      </c>
      <c r="D68" s="29" t="s">
        <v>68</v>
      </c>
      <c r="E68" s="23">
        <v>291924</v>
      </c>
      <c r="F68" s="20">
        <v>90</v>
      </c>
      <c r="G68" s="31">
        <v>2741.4</v>
      </c>
      <c r="H68" s="16">
        <v>-12479.040000000008</v>
      </c>
      <c r="I68" s="20">
        <v>30.46</v>
      </c>
      <c r="J68" s="18"/>
      <c r="K68" s="18"/>
      <c r="L68" s="18"/>
      <c r="M68" s="32"/>
    </row>
    <row r="69" spans="1:13" s="22" customFormat="1" ht="24" customHeight="1" thickBot="1">
      <c r="A69" s="21">
        <v>46030</v>
      </c>
      <c r="B69" s="22" t="s">
        <v>41</v>
      </c>
      <c r="C69" s="22" t="s">
        <v>9</v>
      </c>
      <c r="D69" s="22" t="s">
        <v>34</v>
      </c>
      <c r="E69" s="23">
        <v>919661</v>
      </c>
      <c r="F69" s="20">
        <v>59.999999999999993</v>
      </c>
      <c r="G69" s="31">
        <v>1827.6</v>
      </c>
      <c r="H69" s="16">
        <v>-14306.640000000009</v>
      </c>
      <c r="I69" s="20">
        <v>30.46</v>
      </c>
      <c r="J69" s="18"/>
      <c r="K69" s="18"/>
      <c r="L69" s="18"/>
      <c r="M69" s="32"/>
    </row>
    <row r="70" spans="1:13" s="22" customFormat="1" ht="24" customHeight="1" thickBot="1">
      <c r="A70" s="21">
        <v>46030</v>
      </c>
      <c r="B70" s="22" t="s">
        <v>44</v>
      </c>
      <c r="C70" s="22" t="s">
        <v>14</v>
      </c>
      <c r="D70" s="22" t="s">
        <v>34</v>
      </c>
      <c r="E70" s="23">
        <v>674611</v>
      </c>
      <c r="F70" s="20">
        <v>59.999999999999993</v>
      </c>
      <c r="G70" s="31">
        <v>1827.6</v>
      </c>
      <c r="H70" s="16">
        <v>-16134.240000000009</v>
      </c>
      <c r="I70" s="20">
        <v>30.46</v>
      </c>
      <c r="J70" s="18"/>
      <c r="K70" s="18"/>
      <c r="L70" s="18"/>
      <c r="M70" s="32"/>
    </row>
    <row r="71" spans="1:13" s="22" customFormat="1" ht="24" customHeight="1" thickBot="1">
      <c r="A71" s="21">
        <v>46030</v>
      </c>
      <c r="B71" s="22" t="s">
        <v>48</v>
      </c>
      <c r="C71" s="22" t="s">
        <v>17</v>
      </c>
      <c r="D71" s="22" t="s">
        <v>35</v>
      </c>
      <c r="E71" s="23">
        <v>156852</v>
      </c>
      <c r="F71" s="20">
        <v>66.00131319763625</v>
      </c>
      <c r="G71" s="31">
        <v>2010.4</v>
      </c>
      <c r="H71" s="16">
        <v>-18144.64000000001</v>
      </c>
      <c r="I71" s="20">
        <v>30.46</v>
      </c>
      <c r="J71" s="18"/>
      <c r="K71" s="18"/>
      <c r="L71" s="18"/>
      <c r="M71" s="32"/>
    </row>
    <row r="72" spans="1:13" s="22" customFormat="1" ht="24" customHeight="1" thickBot="1">
      <c r="A72" s="21">
        <v>46030</v>
      </c>
      <c r="B72" s="22" t="s">
        <v>39</v>
      </c>
      <c r="C72" s="22" t="s">
        <v>67</v>
      </c>
      <c r="D72" s="22" t="s">
        <v>34</v>
      </c>
      <c r="E72" s="23" t="s">
        <v>20</v>
      </c>
      <c r="F72" s="20">
        <v>16.414970453053183</v>
      </c>
      <c r="G72" s="31">
        <v>500</v>
      </c>
      <c r="H72" s="16">
        <v>-18644.64000000001</v>
      </c>
      <c r="I72" s="20">
        <v>30.46</v>
      </c>
      <c r="J72" s="18"/>
      <c r="K72" s="18"/>
      <c r="L72" s="18"/>
      <c r="M72" s="32"/>
    </row>
    <row r="73" spans="1:13" s="22" customFormat="1" ht="24" customHeight="1" thickBot="1">
      <c r="A73" s="21">
        <v>46030</v>
      </c>
      <c r="B73" s="22" t="s">
        <v>42</v>
      </c>
      <c r="C73" s="22" t="s">
        <v>32</v>
      </c>
      <c r="D73" s="22" t="s">
        <v>34</v>
      </c>
      <c r="E73" s="23">
        <v>271734</v>
      </c>
      <c r="F73" s="20">
        <v>50</v>
      </c>
      <c r="G73" s="31">
        <v>1523</v>
      </c>
      <c r="H73" s="16">
        <v>-20167.64000000001</v>
      </c>
      <c r="I73" s="20">
        <v>30.46</v>
      </c>
      <c r="J73" s="18"/>
      <c r="K73" s="18"/>
      <c r="L73" s="18"/>
      <c r="M73" s="32"/>
    </row>
    <row r="74" spans="1:13" s="22" customFormat="1" ht="24" customHeight="1" thickBot="1">
      <c r="A74" s="21">
        <v>46030</v>
      </c>
      <c r="B74" s="22" t="s">
        <v>50</v>
      </c>
      <c r="C74" s="22" t="s">
        <v>5</v>
      </c>
      <c r="D74" s="22" t="s">
        <v>34</v>
      </c>
      <c r="E74" s="23">
        <v>194495</v>
      </c>
      <c r="F74" s="20">
        <v>50</v>
      </c>
      <c r="G74" s="31">
        <v>1523</v>
      </c>
      <c r="H74" s="16">
        <v>-21690.64000000001</v>
      </c>
      <c r="I74" s="20">
        <v>30.46</v>
      </c>
      <c r="J74" s="18"/>
      <c r="K74" s="18"/>
      <c r="L74" s="18"/>
      <c r="M74" s="32"/>
    </row>
    <row r="75" spans="1:13" s="22" customFormat="1" ht="24" customHeight="1" thickBot="1">
      <c r="A75" s="21">
        <v>46031</v>
      </c>
      <c r="B75" s="22" t="s">
        <v>52</v>
      </c>
      <c r="C75" s="22" t="s">
        <v>4</v>
      </c>
      <c r="D75" s="22" t="s">
        <v>35</v>
      </c>
      <c r="E75" s="23">
        <v>170296</v>
      </c>
      <c r="F75" s="20">
        <v>53.99868680236375</v>
      </c>
      <c r="G75" s="31">
        <v>1644.8</v>
      </c>
      <c r="H75" s="16">
        <v>-23335.44000000001</v>
      </c>
      <c r="I75" s="20">
        <v>30.46</v>
      </c>
      <c r="J75" s="18"/>
      <c r="K75" s="18"/>
      <c r="L75" s="18"/>
      <c r="M75" s="32"/>
    </row>
    <row r="76" spans="1:13" s="22" customFormat="1" ht="24" customHeight="1" thickBot="1">
      <c r="A76" s="21">
        <v>46031</v>
      </c>
      <c r="B76" s="22" t="s">
        <v>57</v>
      </c>
      <c r="C76" s="22" t="s">
        <v>12</v>
      </c>
      <c r="D76" s="22" t="s">
        <v>34</v>
      </c>
      <c r="E76" s="23">
        <v>167866</v>
      </c>
      <c r="F76" s="20">
        <v>50</v>
      </c>
      <c r="G76" s="31">
        <v>1523</v>
      </c>
      <c r="H76" s="16">
        <v>-24858.44000000001</v>
      </c>
      <c r="I76" s="20">
        <v>30.46</v>
      </c>
      <c r="J76" s="18"/>
      <c r="K76" s="18"/>
      <c r="L76" s="18"/>
      <c r="M76" s="32"/>
    </row>
    <row r="77" spans="1:13" s="22" customFormat="1" ht="24" customHeight="1" thickBot="1">
      <c r="A77" s="21">
        <v>46031</v>
      </c>
      <c r="B77" s="22" t="s">
        <v>49</v>
      </c>
      <c r="C77" s="22" t="s">
        <v>6</v>
      </c>
      <c r="D77" s="22" t="s">
        <v>35</v>
      </c>
      <c r="E77" s="23">
        <v>167781</v>
      </c>
      <c r="F77" s="20">
        <v>50</v>
      </c>
      <c r="G77" s="31">
        <v>1523</v>
      </c>
      <c r="H77" s="16">
        <v>-26381.44000000001</v>
      </c>
      <c r="I77" s="20">
        <v>30.46</v>
      </c>
      <c r="J77" s="18"/>
      <c r="K77" s="18"/>
      <c r="L77" s="18"/>
      <c r="M77" s="32"/>
    </row>
    <row r="78" spans="1:13" s="22" customFormat="1" ht="24" customHeight="1" thickBot="1">
      <c r="A78" s="21">
        <v>46031</v>
      </c>
      <c r="B78" s="22" t="s">
        <v>56</v>
      </c>
      <c r="C78" s="22" t="s">
        <v>8</v>
      </c>
      <c r="D78" s="22" t="s">
        <v>34</v>
      </c>
      <c r="E78" s="23">
        <v>293060</v>
      </c>
      <c r="F78" s="20">
        <v>50</v>
      </c>
      <c r="G78" s="31">
        <v>1523</v>
      </c>
      <c r="H78" s="16">
        <v>-27904.44000000001</v>
      </c>
      <c r="I78" s="20">
        <v>30.46</v>
      </c>
      <c r="J78" s="18"/>
      <c r="K78" s="18"/>
      <c r="L78" s="18"/>
      <c r="M78" s="32"/>
    </row>
    <row r="79" spans="1:13" s="22" customFormat="1" ht="24" customHeight="1" thickBot="1">
      <c r="A79" s="21">
        <v>46031</v>
      </c>
      <c r="B79" s="22" t="s">
        <v>45</v>
      </c>
      <c r="C79" s="22" t="s">
        <v>7</v>
      </c>
      <c r="D79" s="22" t="s">
        <v>35</v>
      </c>
      <c r="E79" s="23">
        <v>172758</v>
      </c>
      <c r="F79" s="20">
        <v>160</v>
      </c>
      <c r="G79" s="31">
        <v>4793.6000000000004</v>
      </c>
      <c r="H79" s="16">
        <v>-32698.040000000008</v>
      </c>
      <c r="I79" s="20">
        <v>29.96</v>
      </c>
      <c r="J79" s="18"/>
      <c r="K79" s="18"/>
      <c r="L79" s="18"/>
      <c r="M79" s="32"/>
    </row>
    <row r="80" spans="1:13" s="22" customFormat="1" ht="24" hidden="1" customHeight="1" thickBot="1">
      <c r="A80" s="21">
        <v>46031</v>
      </c>
      <c r="B80" s="26" t="s">
        <v>20</v>
      </c>
      <c r="C80" s="26" t="s">
        <v>20</v>
      </c>
      <c r="D80" s="26" t="s">
        <v>20</v>
      </c>
      <c r="E80" s="27" t="s">
        <v>65</v>
      </c>
      <c r="F80" s="20" t="s">
        <v>20</v>
      </c>
      <c r="G80" s="31">
        <v>-70000</v>
      </c>
      <c r="H80" s="16">
        <v>37301.959999999992</v>
      </c>
      <c r="I80" s="20">
        <v>29.96</v>
      </c>
      <c r="J80" s="28" t="s">
        <v>76</v>
      </c>
      <c r="K80" s="18"/>
      <c r="L80" s="18"/>
      <c r="M80" s="32"/>
    </row>
    <row r="81" spans="1:13" s="22" customFormat="1" ht="24" hidden="1" customHeight="1" thickBot="1">
      <c r="A81" s="21">
        <v>46031</v>
      </c>
      <c r="B81" s="26" t="s">
        <v>20</v>
      </c>
      <c r="C81" s="26" t="s">
        <v>20</v>
      </c>
      <c r="D81" s="26" t="s">
        <v>20</v>
      </c>
      <c r="E81" s="27" t="s">
        <v>65</v>
      </c>
      <c r="F81" s="20" t="s">
        <v>20</v>
      </c>
      <c r="G81" s="31">
        <v>-20000</v>
      </c>
      <c r="H81" s="16">
        <v>57301.959999999992</v>
      </c>
      <c r="I81" s="20">
        <v>29.96</v>
      </c>
      <c r="J81" s="28"/>
      <c r="K81" s="18"/>
      <c r="L81" s="18"/>
      <c r="M81" s="32"/>
    </row>
    <row r="82" spans="1:13" s="22" customFormat="1" ht="24" customHeight="1" thickBot="1">
      <c r="A82" s="21">
        <v>46031</v>
      </c>
      <c r="B82" s="22" t="s">
        <v>43</v>
      </c>
      <c r="C82" s="22" t="s">
        <v>1</v>
      </c>
      <c r="D82" s="22" t="s">
        <v>35</v>
      </c>
      <c r="E82" s="23">
        <v>168130</v>
      </c>
      <c r="F82" s="20">
        <v>50</v>
      </c>
      <c r="G82" s="31">
        <v>1498</v>
      </c>
      <c r="H82" s="16">
        <v>55803.959999999992</v>
      </c>
      <c r="I82" s="20">
        <v>29.96</v>
      </c>
      <c r="J82" s="18"/>
      <c r="K82" s="18"/>
      <c r="L82" s="18"/>
      <c r="M82" s="32"/>
    </row>
    <row r="83" spans="1:13" s="22" customFormat="1" ht="24" customHeight="1" thickBot="1">
      <c r="A83" s="21">
        <v>46031</v>
      </c>
      <c r="B83" s="22" t="s">
        <v>51</v>
      </c>
      <c r="C83" s="22" t="s">
        <v>3</v>
      </c>
      <c r="D83" s="22" t="s">
        <v>36</v>
      </c>
      <c r="E83" s="23">
        <v>302490</v>
      </c>
      <c r="F83" s="20">
        <v>40</v>
      </c>
      <c r="G83" s="31">
        <v>1198.4000000000001</v>
      </c>
      <c r="H83" s="16">
        <v>54605.55999999999</v>
      </c>
      <c r="I83" s="20">
        <v>29.96</v>
      </c>
      <c r="J83" s="18"/>
      <c r="K83" s="18"/>
      <c r="L83" s="18"/>
      <c r="M83" s="32"/>
    </row>
    <row r="84" spans="1:13" s="22" customFormat="1" ht="24" customHeight="1" thickBot="1">
      <c r="A84" s="21">
        <v>46031</v>
      </c>
      <c r="B84" s="22" t="s">
        <v>59</v>
      </c>
      <c r="C84" s="22" t="s">
        <v>11</v>
      </c>
      <c r="D84" s="22" t="s">
        <v>36</v>
      </c>
      <c r="E84" s="23">
        <v>233235</v>
      </c>
      <c r="F84" s="20">
        <v>50</v>
      </c>
      <c r="G84" s="31">
        <v>1498</v>
      </c>
      <c r="H84" s="16">
        <v>53107.55999999999</v>
      </c>
      <c r="I84" s="20">
        <v>29.96</v>
      </c>
      <c r="J84" s="18"/>
      <c r="K84" s="18"/>
      <c r="L84" s="18"/>
      <c r="M84" s="32"/>
    </row>
    <row r="85" spans="1:13" s="22" customFormat="1" ht="24" customHeight="1" thickBot="1">
      <c r="A85" s="21">
        <v>46031</v>
      </c>
      <c r="B85" s="22" t="s">
        <v>54</v>
      </c>
      <c r="C85" s="22" t="s">
        <v>16</v>
      </c>
      <c r="D85" s="22" t="s">
        <v>36</v>
      </c>
      <c r="E85" s="23">
        <v>232518</v>
      </c>
      <c r="F85" s="20">
        <v>50</v>
      </c>
      <c r="G85" s="31">
        <v>1498</v>
      </c>
      <c r="H85" s="16">
        <v>51609.55999999999</v>
      </c>
      <c r="I85" s="20">
        <v>29.96</v>
      </c>
      <c r="J85" s="18"/>
      <c r="K85" s="18"/>
      <c r="L85" s="18"/>
      <c r="M85" s="32"/>
    </row>
    <row r="86" spans="1:13" s="22" customFormat="1" ht="24" customHeight="1" thickBot="1">
      <c r="A86" s="21">
        <v>46031</v>
      </c>
      <c r="B86" s="22" t="s">
        <v>46</v>
      </c>
      <c r="C86" s="25" t="s">
        <v>47</v>
      </c>
      <c r="D86" s="22" t="s">
        <v>34</v>
      </c>
      <c r="E86" s="30">
        <v>235451</v>
      </c>
      <c r="F86" s="20">
        <v>50</v>
      </c>
      <c r="G86" s="31">
        <v>1498</v>
      </c>
      <c r="H86" s="16">
        <v>50111.55999999999</v>
      </c>
      <c r="I86" s="20">
        <v>29.96</v>
      </c>
      <c r="J86" s="18"/>
      <c r="K86" s="18"/>
      <c r="L86" s="18"/>
      <c r="M86" s="32"/>
    </row>
    <row r="87" spans="1:13" s="22" customFormat="1" ht="24" customHeight="1" thickBot="1">
      <c r="A87" s="21">
        <v>46031</v>
      </c>
      <c r="B87" s="22" t="s">
        <v>60</v>
      </c>
      <c r="C87" s="22" t="s">
        <v>2</v>
      </c>
      <c r="D87" s="22" t="s">
        <v>35</v>
      </c>
      <c r="E87" s="23">
        <v>145850</v>
      </c>
      <c r="F87" s="20">
        <v>90</v>
      </c>
      <c r="G87" s="31">
        <v>2696.4</v>
      </c>
      <c r="H87" s="16">
        <v>47415.159999999989</v>
      </c>
      <c r="I87" s="20">
        <v>29.96</v>
      </c>
      <c r="J87" s="18"/>
      <c r="K87" s="18"/>
      <c r="L87" s="18"/>
      <c r="M87" s="32"/>
    </row>
    <row r="88" spans="1:13" s="22" customFormat="1" ht="24" customHeight="1" thickBot="1">
      <c r="A88" s="21">
        <v>46031</v>
      </c>
      <c r="B88" s="22" t="s">
        <v>41</v>
      </c>
      <c r="C88" s="22" t="s">
        <v>9</v>
      </c>
      <c r="D88" s="22" t="s">
        <v>36</v>
      </c>
      <c r="E88" s="23">
        <v>919826</v>
      </c>
      <c r="F88" s="20">
        <v>59.999999999999993</v>
      </c>
      <c r="G88" s="31">
        <v>1797.6</v>
      </c>
      <c r="H88" s="16">
        <v>45617.55999999999</v>
      </c>
      <c r="I88" s="20">
        <v>29.96</v>
      </c>
      <c r="J88" s="18"/>
      <c r="K88" s="18"/>
      <c r="L88" s="18"/>
      <c r="M88" s="32"/>
    </row>
    <row r="89" spans="1:13" s="22" customFormat="1" ht="24" customHeight="1" thickBot="1">
      <c r="A89" s="21">
        <v>46031</v>
      </c>
      <c r="B89" s="22" t="s">
        <v>44</v>
      </c>
      <c r="C89" s="22" t="s">
        <v>14</v>
      </c>
      <c r="D89" s="22" t="s">
        <v>34</v>
      </c>
      <c r="E89" s="23">
        <v>674740</v>
      </c>
      <c r="F89" s="20">
        <v>59.999999999999993</v>
      </c>
      <c r="G89" s="31">
        <v>1797.6</v>
      </c>
      <c r="H89" s="16">
        <v>43819.959999999992</v>
      </c>
      <c r="I89" s="20">
        <v>29.96</v>
      </c>
      <c r="J89" s="18"/>
      <c r="K89" s="18"/>
      <c r="L89" s="18"/>
      <c r="M89" s="32"/>
    </row>
    <row r="90" spans="1:13" s="22" customFormat="1" ht="24" customHeight="1" thickBot="1">
      <c r="A90" s="21">
        <v>46031</v>
      </c>
      <c r="B90" s="22" t="s">
        <v>42</v>
      </c>
      <c r="C90" s="22" t="s">
        <v>32</v>
      </c>
      <c r="D90" s="22" t="s">
        <v>34</v>
      </c>
      <c r="E90" s="23">
        <v>271889</v>
      </c>
      <c r="F90" s="20">
        <v>50</v>
      </c>
      <c r="G90" s="31">
        <v>1498</v>
      </c>
      <c r="H90" s="16">
        <v>42321.959999999992</v>
      </c>
      <c r="I90" s="20">
        <v>29.96</v>
      </c>
      <c r="J90" s="18"/>
      <c r="K90" s="18"/>
      <c r="L90" s="18"/>
      <c r="M90" s="32"/>
    </row>
    <row r="91" spans="1:13" s="22" customFormat="1" ht="24" customHeight="1" thickBot="1">
      <c r="A91" s="21">
        <v>46031</v>
      </c>
      <c r="B91" s="22" t="s">
        <v>55</v>
      </c>
      <c r="C91" s="22" t="s">
        <v>15</v>
      </c>
      <c r="D91" s="22" t="s">
        <v>34</v>
      </c>
      <c r="E91" s="23">
        <v>278181</v>
      </c>
      <c r="F91" s="20">
        <v>50</v>
      </c>
      <c r="G91" s="31">
        <v>1498</v>
      </c>
      <c r="H91" s="16">
        <v>40823.959999999992</v>
      </c>
      <c r="I91" s="20">
        <v>29.96</v>
      </c>
      <c r="J91" s="18"/>
      <c r="K91" s="18"/>
      <c r="L91" s="18"/>
      <c r="M91" s="32"/>
    </row>
    <row r="92" spans="1:13" s="22" customFormat="1" ht="24" customHeight="1" thickBot="1">
      <c r="A92" s="21">
        <v>46031</v>
      </c>
      <c r="B92" s="22" t="s">
        <v>63</v>
      </c>
      <c r="C92" s="22" t="s">
        <v>13</v>
      </c>
      <c r="D92" s="22" t="s">
        <v>36</v>
      </c>
      <c r="E92" s="23">
        <v>251197</v>
      </c>
      <c r="F92" s="20">
        <v>175</v>
      </c>
      <c r="G92" s="31">
        <v>5243</v>
      </c>
      <c r="H92" s="16">
        <v>35580.959999999992</v>
      </c>
      <c r="I92" s="20">
        <v>29.96</v>
      </c>
      <c r="J92" s="18"/>
      <c r="K92" s="18"/>
      <c r="L92" s="18"/>
      <c r="M92" s="32"/>
    </row>
    <row r="93" spans="1:13" s="22" customFormat="1" ht="24" customHeight="1" thickBot="1">
      <c r="A93" s="21">
        <v>46031</v>
      </c>
      <c r="B93" s="22" t="s">
        <v>43</v>
      </c>
      <c r="C93" s="22" t="s">
        <v>1</v>
      </c>
      <c r="D93" s="22" t="s">
        <v>36</v>
      </c>
      <c r="E93" s="23">
        <v>168270</v>
      </c>
      <c r="F93" s="20">
        <v>83.000667556742314</v>
      </c>
      <c r="G93" s="31">
        <v>2486.6999999999998</v>
      </c>
      <c r="H93" s="16">
        <v>33094.259999999995</v>
      </c>
      <c r="I93" s="20">
        <v>29.96</v>
      </c>
      <c r="J93" s="18"/>
      <c r="K93" s="18"/>
      <c r="L93" s="18"/>
      <c r="M93" s="32"/>
    </row>
    <row r="94" spans="1:13" s="22" customFormat="1" ht="24" customHeight="1" thickBot="1">
      <c r="A94" s="21">
        <v>46031</v>
      </c>
      <c r="B94" s="22" t="s">
        <v>53</v>
      </c>
      <c r="C94" s="22" t="s">
        <v>10</v>
      </c>
      <c r="D94" s="22" t="s">
        <v>35</v>
      </c>
      <c r="E94" s="23">
        <v>292229</v>
      </c>
      <c r="F94" s="20">
        <v>90</v>
      </c>
      <c r="G94" s="31">
        <v>2696.4</v>
      </c>
      <c r="H94" s="16">
        <v>30397.859999999993</v>
      </c>
      <c r="I94" s="20">
        <v>29.96</v>
      </c>
      <c r="J94" s="18"/>
      <c r="K94" s="18"/>
      <c r="L94" s="18"/>
      <c r="M94" s="32"/>
    </row>
    <row r="95" spans="1:13" s="22" customFormat="1" ht="24" customHeight="1" thickBot="1">
      <c r="A95" s="21">
        <v>46031</v>
      </c>
      <c r="B95" s="22" t="s">
        <v>49</v>
      </c>
      <c r="C95" s="22" t="s">
        <v>6</v>
      </c>
      <c r="D95" s="22" t="s">
        <v>36</v>
      </c>
      <c r="E95" s="23">
        <v>167982</v>
      </c>
      <c r="F95" s="20">
        <v>50</v>
      </c>
      <c r="G95" s="31">
        <v>1498</v>
      </c>
      <c r="H95" s="16">
        <v>28899.859999999993</v>
      </c>
      <c r="I95" s="20">
        <v>29.96</v>
      </c>
      <c r="J95" s="18"/>
      <c r="K95" s="18"/>
      <c r="L95" s="18"/>
      <c r="M95" s="32"/>
    </row>
    <row r="96" spans="1:13" s="22" customFormat="1" ht="24" customHeight="1" thickBot="1">
      <c r="A96" s="21">
        <v>46032</v>
      </c>
      <c r="B96" s="22" t="s">
        <v>54</v>
      </c>
      <c r="C96" s="22" t="s">
        <v>16</v>
      </c>
      <c r="D96" s="22" t="s">
        <v>36</v>
      </c>
      <c r="E96" s="23">
        <v>232633</v>
      </c>
      <c r="F96" s="20">
        <v>50</v>
      </c>
      <c r="G96" s="31">
        <v>1498</v>
      </c>
      <c r="H96" s="16">
        <v>27401.859999999993</v>
      </c>
      <c r="I96" s="20">
        <v>29.96</v>
      </c>
      <c r="J96" s="18"/>
      <c r="K96" s="18"/>
      <c r="L96" s="18"/>
      <c r="M96" s="32"/>
    </row>
    <row r="97" spans="1:13" s="22" customFormat="1" ht="24" customHeight="1" thickBot="1">
      <c r="A97" s="21">
        <v>46032</v>
      </c>
      <c r="B97" s="22" t="s">
        <v>49</v>
      </c>
      <c r="C97" s="22" t="s">
        <v>6</v>
      </c>
      <c r="D97" s="22" t="s">
        <v>35</v>
      </c>
      <c r="E97" s="23">
        <v>168071</v>
      </c>
      <c r="F97" s="20">
        <v>50</v>
      </c>
      <c r="G97" s="31">
        <v>1498</v>
      </c>
      <c r="H97" s="16">
        <v>25903.859999999993</v>
      </c>
      <c r="I97" s="20">
        <v>29.96</v>
      </c>
      <c r="J97" s="18"/>
      <c r="K97" s="18"/>
      <c r="L97" s="18"/>
      <c r="M97" s="32"/>
    </row>
    <row r="98" spans="1:13" s="22" customFormat="1" ht="24" customHeight="1" thickBot="1">
      <c r="A98" s="21">
        <v>46032</v>
      </c>
      <c r="B98" s="22" t="s">
        <v>57</v>
      </c>
      <c r="C98" s="22" t="s">
        <v>12</v>
      </c>
      <c r="D98" s="22" t="s">
        <v>35</v>
      </c>
      <c r="E98" s="23">
        <v>168035</v>
      </c>
      <c r="F98" s="20">
        <v>50</v>
      </c>
      <c r="G98" s="31">
        <v>1498</v>
      </c>
      <c r="H98" s="16">
        <v>24405.859999999993</v>
      </c>
      <c r="I98" s="20">
        <v>29.96</v>
      </c>
      <c r="J98" s="18"/>
      <c r="K98" s="18"/>
      <c r="L98" s="18"/>
      <c r="M98" s="32"/>
    </row>
    <row r="99" spans="1:13" s="22" customFormat="1" ht="24" customHeight="1" thickBot="1">
      <c r="A99" s="21">
        <v>46032</v>
      </c>
      <c r="B99" s="22" t="s">
        <v>52</v>
      </c>
      <c r="C99" s="22" t="s">
        <v>4</v>
      </c>
      <c r="D99" s="22" t="s">
        <v>37</v>
      </c>
      <c r="E99" s="30">
        <v>170617</v>
      </c>
      <c r="F99" s="20">
        <v>50</v>
      </c>
      <c r="G99" s="31">
        <v>1502</v>
      </c>
      <c r="H99" s="16">
        <v>22903.859999999993</v>
      </c>
      <c r="I99" s="20">
        <v>30.04</v>
      </c>
      <c r="J99" s="18"/>
      <c r="K99" s="18"/>
      <c r="L99" s="18"/>
      <c r="M99" s="32"/>
    </row>
    <row r="100" spans="1:13" s="22" customFormat="1" ht="24" customHeight="1" thickBot="1">
      <c r="A100" s="21">
        <v>46032</v>
      </c>
      <c r="B100" s="22" t="s">
        <v>55</v>
      </c>
      <c r="C100" s="22" t="s">
        <v>15</v>
      </c>
      <c r="D100" s="22" t="s">
        <v>36</v>
      </c>
      <c r="E100" s="23">
        <v>278290</v>
      </c>
      <c r="F100" s="20">
        <v>50</v>
      </c>
      <c r="G100" s="31">
        <v>1498</v>
      </c>
      <c r="H100" s="16">
        <v>21405.859999999993</v>
      </c>
      <c r="I100" s="20">
        <v>29.96</v>
      </c>
      <c r="J100" s="18"/>
      <c r="K100" s="18"/>
      <c r="L100" s="18"/>
      <c r="M100" s="32"/>
    </row>
    <row r="101" spans="1:13" s="22" customFormat="1" ht="24" customHeight="1" thickBot="1">
      <c r="A101" s="21">
        <v>46032</v>
      </c>
      <c r="B101" s="22" t="s">
        <v>42</v>
      </c>
      <c r="C101" s="22" t="s">
        <v>32</v>
      </c>
      <c r="D101" s="22" t="s">
        <v>34</v>
      </c>
      <c r="E101" s="23">
        <v>271956</v>
      </c>
      <c r="F101" s="20">
        <v>50</v>
      </c>
      <c r="G101" s="31">
        <v>1498</v>
      </c>
      <c r="H101" s="16">
        <v>19907.859999999993</v>
      </c>
      <c r="I101" s="20">
        <v>29.96</v>
      </c>
      <c r="J101" s="18"/>
      <c r="K101" s="18"/>
      <c r="L101" s="18"/>
      <c r="M101" s="32"/>
    </row>
    <row r="102" spans="1:13" s="22" customFormat="1" ht="24" customHeight="1" thickBot="1">
      <c r="A102" s="21">
        <v>46032</v>
      </c>
      <c r="B102" s="22" t="s">
        <v>50</v>
      </c>
      <c r="C102" s="22" t="s">
        <v>5</v>
      </c>
      <c r="D102" s="22" t="s">
        <v>36</v>
      </c>
      <c r="E102" s="23">
        <v>194670</v>
      </c>
      <c r="F102" s="20">
        <v>50</v>
      </c>
      <c r="G102" s="31">
        <v>1498</v>
      </c>
      <c r="H102" s="16">
        <v>18409.859999999993</v>
      </c>
      <c r="I102" s="20">
        <v>29.96</v>
      </c>
      <c r="J102" s="18"/>
      <c r="K102" s="18"/>
      <c r="L102" s="18"/>
      <c r="M102" s="32"/>
    </row>
    <row r="103" spans="1:13" s="22" customFormat="1" ht="24" customHeight="1" thickBot="1">
      <c r="A103" s="21">
        <v>46032</v>
      </c>
      <c r="B103" s="22" t="s">
        <v>60</v>
      </c>
      <c r="C103" s="22" t="s">
        <v>2</v>
      </c>
      <c r="D103" s="22" t="s">
        <v>35</v>
      </c>
      <c r="E103" s="23">
        <v>146154</v>
      </c>
      <c r="F103" s="20">
        <v>90</v>
      </c>
      <c r="G103" s="31">
        <v>2696.4</v>
      </c>
      <c r="H103" s="16">
        <v>15713.459999999994</v>
      </c>
      <c r="I103" s="20">
        <v>29.96</v>
      </c>
      <c r="J103" s="18"/>
      <c r="K103" s="18"/>
      <c r="L103" s="18"/>
      <c r="M103" s="32"/>
    </row>
    <row r="104" spans="1:13" s="22" customFormat="1" ht="24" customHeight="1" thickBot="1">
      <c r="A104" s="21">
        <v>46032</v>
      </c>
      <c r="B104" s="22" t="s">
        <v>48</v>
      </c>
      <c r="C104" s="22" t="s">
        <v>17</v>
      </c>
      <c r="D104" s="22" t="s">
        <v>34</v>
      </c>
      <c r="E104" s="23">
        <v>157325</v>
      </c>
      <c r="F104" s="20">
        <v>50</v>
      </c>
      <c r="G104" s="31">
        <v>1498</v>
      </c>
      <c r="H104" s="16">
        <v>14215.459999999994</v>
      </c>
      <c r="I104" s="20">
        <v>29.96</v>
      </c>
      <c r="J104" s="18"/>
      <c r="K104" s="18"/>
      <c r="L104" s="18"/>
      <c r="M104" s="32"/>
    </row>
    <row r="105" spans="1:13" s="22" customFormat="1" ht="24" customHeight="1" thickBot="1">
      <c r="A105" s="21">
        <v>46032</v>
      </c>
      <c r="B105" s="22" t="s">
        <v>56</v>
      </c>
      <c r="C105" s="22" t="s">
        <v>8</v>
      </c>
      <c r="D105" s="22" t="s">
        <v>36</v>
      </c>
      <c r="E105" s="30">
        <v>293284</v>
      </c>
      <c r="F105" s="20">
        <v>50</v>
      </c>
      <c r="G105" s="31">
        <v>1498</v>
      </c>
      <c r="H105" s="16">
        <v>12717.459999999994</v>
      </c>
      <c r="I105" s="20">
        <v>29.96</v>
      </c>
      <c r="J105" s="18"/>
      <c r="K105" s="18"/>
      <c r="L105" s="18"/>
      <c r="M105" s="32"/>
    </row>
    <row r="106" spans="1:13" s="22" customFormat="1" ht="24" customHeight="1" thickBot="1">
      <c r="A106" s="21">
        <v>46032</v>
      </c>
      <c r="B106" s="22" t="s">
        <v>41</v>
      </c>
      <c r="C106" s="22" t="s">
        <v>9</v>
      </c>
      <c r="D106" s="22" t="s">
        <v>36</v>
      </c>
      <c r="E106" s="23">
        <v>919988</v>
      </c>
      <c r="F106" s="20">
        <v>59.999999999999993</v>
      </c>
      <c r="G106" s="31">
        <v>1797.6</v>
      </c>
      <c r="H106" s="16">
        <v>10919.859999999993</v>
      </c>
      <c r="I106" s="20">
        <v>29.96</v>
      </c>
      <c r="J106" s="18"/>
      <c r="K106" s="18"/>
      <c r="L106" s="18"/>
      <c r="M106" s="32"/>
    </row>
    <row r="107" spans="1:13" s="22" customFormat="1" ht="24" customHeight="1" thickBot="1">
      <c r="A107" s="21">
        <v>46032</v>
      </c>
      <c r="B107" s="22" t="s">
        <v>44</v>
      </c>
      <c r="C107" s="22" t="s">
        <v>14</v>
      </c>
      <c r="D107" s="22" t="s">
        <v>36</v>
      </c>
      <c r="E107" s="23">
        <v>674881</v>
      </c>
      <c r="F107" s="20">
        <v>59.999999999999993</v>
      </c>
      <c r="G107" s="31">
        <v>1797.6</v>
      </c>
      <c r="H107" s="16">
        <v>9122.2599999999929</v>
      </c>
      <c r="I107" s="20">
        <v>29.96</v>
      </c>
      <c r="J107" s="18"/>
      <c r="K107" s="18"/>
      <c r="L107" s="18"/>
      <c r="M107" s="32"/>
    </row>
    <row r="108" spans="1:13" s="22" customFormat="1" ht="24" customHeight="1" thickBot="1">
      <c r="A108" s="21">
        <v>46032</v>
      </c>
      <c r="B108" s="22" t="s">
        <v>46</v>
      </c>
      <c r="C108" s="25" t="s">
        <v>47</v>
      </c>
      <c r="D108" s="22" t="s">
        <v>36</v>
      </c>
      <c r="E108" s="23">
        <v>235677</v>
      </c>
      <c r="F108" s="20">
        <v>50</v>
      </c>
      <c r="G108" s="31">
        <v>1498</v>
      </c>
      <c r="H108" s="16">
        <v>7624.2599999999929</v>
      </c>
      <c r="I108" s="20">
        <v>29.96</v>
      </c>
      <c r="J108" s="18"/>
      <c r="K108" s="18"/>
      <c r="L108" s="18"/>
      <c r="M108" s="32"/>
    </row>
    <row r="109" spans="1:13" s="22" customFormat="1" ht="24" customHeight="1" thickBot="1">
      <c r="A109" s="21">
        <v>46032</v>
      </c>
      <c r="B109" s="22" t="s">
        <v>39</v>
      </c>
      <c r="C109" s="22" t="s">
        <v>40</v>
      </c>
      <c r="D109" s="22" t="s">
        <v>34</v>
      </c>
      <c r="E109" s="23" t="s">
        <v>20</v>
      </c>
      <c r="F109" s="20">
        <v>16.688918558077436</v>
      </c>
      <c r="G109" s="31">
        <v>500</v>
      </c>
      <c r="H109" s="16">
        <v>7124.2599999999929</v>
      </c>
      <c r="I109" s="20">
        <v>29.96</v>
      </c>
      <c r="J109" s="18"/>
      <c r="K109" s="18"/>
      <c r="L109" s="18"/>
      <c r="M109" s="32"/>
    </row>
    <row r="110" spans="1:13" s="22" customFormat="1" ht="24" customHeight="1" thickBot="1">
      <c r="A110" s="21">
        <v>46032</v>
      </c>
      <c r="B110" s="22" t="s">
        <v>51</v>
      </c>
      <c r="C110" s="22" t="s">
        <v>3</v>
      </c>
      <c r="D110" s="22" t="s">
        <v>69</v>
      </c>
      <c r="E110" s="23">
        <v>302999</v>
      </c>
      <c r="F110" s="20">
        <v>50</v>
      </c>
      <c r="G110" s="31">
        <v>1498</v>
      </c>
      <c r="H110" s="16">
        <v>5626.2599999999929</v>
      </c>
      <c r="I110" s="20">
        <v>29.96</v>
      </c>
      <c r="J110" s="18"/>
      <c r="K110" s="18"/>
      <c r="L110" s="18"/>
      <c r="M110" s="32"/>
    </row>
    <row r="111" spans="1:13" s="22" customFormat="1" ht="24" customHeight="1" thickBot="1">
      <c r="A111" s="21">
        <v>46033</v>
      </c>
      <c r="B111" s="22" t="s">
        <v>52</v>
      </c>
      <c r="C111" s="22" t="s">
        <v>4</v>
      </c>
      <c r="D111" s="22" t="s">
        <v>35</v>
      </c>
      <c r="E111" s="23">
        <v>170705</v>
      </c>
      <c r="F111" s="20">
        <v>60.080106809078771</v>
      </c>
      <c r="G111" s="31">
        <v>1800</v>
      </c>
      <c r="H111" s="16">
        <v>3826.2599999999929</v>
      </c>
      <c r="I111" s="20">
        <v>29.96</v>
      </c>
      <c r="J111" s="18"/>
      <c r="K111" s="18"/>
      <c r="L111" s="18"/>
      <c r="M111" s="32"/>
    </row>
    <row r="112" spans="1:13" s="22" customFormat="1" ht="24" customHeight="1" thickBot="1">
      <c r="A112" s="21">
        <v>46033</v>
      </c>
      <c r="B112" s="22" t="s">
        <v>57</v>
      </c>
      <c r="C112" s="22" t="s">
        <v>12</v>
      </c>
      <c r="D112" s="22" t="s">
        <v>35</v>
      </c>
      <c r="E112" s="23">
        <v>168178</v>
      </c>
      <c r="F112" s="20">
        <v>90</v>
      </c>
      <c r="G112" s="31">
        <v>2696.4</v>
      </c>
      <c r="H112" s="16">
        <v>1129.8599999999929</v>
      </c>
      <c r="I112" s="20">
        <v>29.96</v>
      </c>
      <c r="J112" s="18"/>
      <c r="K112" s="18"/>
      <c r="L112" s="18"/>
      <c r="M112" s="32"/>
    </row>
    <row r="113" spans="1:13" s="22" customFormat="1" ht="24" customHeight="1" thickBot="1">
      <c r="A113" s="21">
        <v>46034</v>
      </c>
      <c r="B113" s="22" t="s">
        <v>43</v>
      </c>
      <c r="C113" s="22" t="s">
        <v>1</v>
      </c>
      <c r="D113" s="22" t="s">
        <v>36</v>
      </c>
      <c r="E113" s="23">
        <v>168685</v>
      </c>
      <c r="F113" s="20">
        <v>90</v>
      </c>
      <c r="G113" s="31">
        <v>2696.4</v>
      </c>
      <c r="H113" s="16">
        <v>-1566.5400000000072</v>
      </c>
      <c r="I113" s="20">
        <v>29.96</v>
      </c>
      <c r="J113" s="18"/>
      <c r="K113" s="18"/>
      <c r="L113" s="18"/>
      <c r="M113" s="32"/>
    </row>
    <row r="114" spans="1:13" s="22" customFormat="1" ht="24" customHeight="1" thickBot="1">
      <c r="A114" s="21">
        <v>46034</v>
      </c>
      <c r="B114" s="22" t="s">
        <v>54</v>
      </c>
      <c r="C114" s="22" t="s">
        <v>16</v>
      </c>
      <c r="D114" s="22" t="s">
        <v>36</v>
      </c>
      <c r="E114" s="23">
        <v>232808</v>
      </c>
      <c r="F114" s="20">
        <v>50</v>
      </c>
      <c r="G114" s="31">
        <v>1498</v>
      </c>
      <c r="H114" s="16">
        <v>-3064.5400000000072</v>
      </c>
      <c r="I114" s="20">
        <v>29.96</v>
      </c>
      <c r="J114" s="18"/>
      <c r="K114" s="18"/>
      <c r="L114" s="18"/>
      <c r="M114" s="32"/>
    </row>
    <row r="115" spans="1:13" s="22" customFormat="1" ht="24" customHeight="1" thickBot="1">
      <c r="A115" s="21">
        <v>46034</v>
      </c>
      <c r="B115" s="22" t="s">
        <v>41</v>
      </c>
      <c r="C115" s="22" t="s">
        <v>9</v>
      </c>
      <c r="D115" s="22" t="s">
        <v>34</v>
      </c>
      <c r="E115" s="23">
        <v>920108</v>
      </c>
      <c r="F115" s="20">
        <v>59.999999999999993</v>
      </c>
      <c r="G115" s="31">
        <v>1797.6</v>
      </c>
      <c r="H115" s="16">
        <v>-4862.1400000000067</v>
      </c>
      <c r="I115" s="20">
        <v>29.96</v>
      </c>
      <c r="J115" s="18"/>
      <c r="K115" s="18"/>
      <c r="L115" s="18"/>
      <c r="M115" s="32"/>
    </row>
    <row r="116" spans="1:13" s="22" customFormat="1" ht="24" customHeight="1" thickBot="1">
      <c r="A116" s="21">
        <v>46034</v>
      </c>
      <c r="B116" s="22" t="s">
        <v>45</v>
      </c>
      <c r="C116" s="22" t="s">
        <v>7</v>
      </c>
      <c r="D116" s="22" t="s">
        <v>36</v>
      </c>
      <c r="E116" s="23">
        <v>173147</v>
      </c>
      <c r="F116" s="20">
        <v>162.88384512683578</v>
      </c>
      <c r="G116" s="31">
        <v>4880</v>
      </c>
      <c r="H116" s="16">
        <v>-9742.1400000000067</v>
      </c>
      <c r="I116" s="20">
        <v>29.96</v>
      </c>
      <c r="J116" s="18"/>
      <c r="K116" s="18"/>
      <c r="L116" s="18"/>
      <c r="M116" s="32"/>
    </row>
    <row r="117" spans="1:13" s="22" customFormat="1" ht="24" customHeight="1" thickBot="1">
      <c r="A117" s="21">
        <v>46034</v>
      </c>
      <c r="B117" s="22" t="s">
        <v>42</v>
      </c>
      <c r="C117" s="22" t="s">
        <v>32</v>
      </c>
      <c r="D117" s="22" t="s">
        <v>34</v>
      </c>
      <c r="E117" s="23">
        <v>272085</v>
      </c>
      <c r="F117" s="20">
        <v>50</v>
      </c>
      <c r="G117" s="31">
        <v>1498</v>
      </c>
      <c r="H117" s="16">
        <v>-11240.140000000007</v>
      </c>
      <c r="I117" s="20">
        <v>29.96</v>
      </c>
      <c r="J117" s="18"/>
      <c r="K117" s="18"/>
      <c r="L117" s="18"/>
      <c r="M117" s="32"/>
    </row>
    <row r="118" spans="1:13" s="22" customFormat="1" ht="24" customHeight="1" thickBot="1">
      <c r="A118" s="21">
        <v>46034</v>
      </c>
      <c r="B118" s="22" t="s">
        <v>48</v>
      </c>
      <c r="C118" s="22" t="s">
        <v>17</v>
      </c>
      <c r="D118" s="22" t="s">
        <v>36</v>
      </c>
      <c r="E118" s="23">
        <v>157402</v>
      </c>
      <c r="F118" s="20">
        <v>50</v>
      </c>
      <c r="G118" s="31">
        <v>1498</v>
      </c>
      <c r="H118" s="16">
        <v>-12738.140000000007</v>
      </c>
      <c r="I118" s="20">
        <v>29.96</v>
      </c>
      <c r="J118" s="18"/>
      <c r="K118" s="18"/>
      <c r="L118" s="18"/>
      <c r="M118" s="32"/>
    </row>
    <row r="119" spans="1:13" s="22" customFormat="1" ht="24" customHeight="1" thickBot="1">
      <c r="A119" s="21">
        <v>46034</v>
      </c>
      <c r="B119" s="22" t="s">
        <v>56</v>
      </c>
      <c r="C119" s="22" t="s">
        <v>8</v>
      </c>
      <c r="D119" s="22" t="s">
        <v>34</v>
      </c>
      <c r="E119" s="23">
        <v>293355</v>
      </c>
      <c r="F119" s="20">
        <v>50</v>
      </c>
      <c r="G119" s="31">
        <v>1498</v>
      </c>
      <c r="H119" s="16">
        <v>-14236.140000000007</v>
      </c>
      <c r="I119" s="20">
        <v>29.96</v>
      </c>
      <c r="J119" s="18"/>
      <c r="K119" s="18"/>
      <c r="L119" s="18"/>
      <c r="M119" s="32"/>
    </row>
    <row r="120" spans="1:13" s="22" customFormat="1" ht="24" customHeight="1" thickBot="1">
      <c r="A120" s="21">
        <v>46034</v>
      </c>
      <c r="B120" s="22" t="s">
        <v>59</v>
      </c>
      <c r="C120" s="22" t="s">
        <v>11</v>
      </c>
      <c r="D120" s="22" t="s">
        <v>34</v>
      </c>
      <c r="E120" s="23">
        <v>233422</v>
      </c>
      <c r="F120" s="20">
        <v>50</v>
      </c>
      <c r="G120" s="31">
        <v>1498</v>
      </c>
      <c r="H120" s="16">
        <v>-15734.140000000007</v>
      </c>
      <c r="I120" s="20">
        <v>29.96</v>
      </c>
      <c r="J120" s="18"/>
      <c r="K120" s="18"/>
      <c r="L120" s="18"/>
      <c r="M120" s="32"/>
    </row>
    <row r="121" spans="1:13" s="22" customFormat="1" ht="24" customHeight="1" thickBot="1">
      <c r="A121" s="21">
        <v>46034</v>
      </c>
      <c r="B121" s="22" t="s">
        <v>46</v>
      </c>
      <c r="C121" s="25" t="s">
        <v>47</v>
      </c>
      <c r="D121" s="22" t="s">
        <v>34</v>
      </c>
      <c r="E121" s="23">
        <v>235801</v>
      </c>
      <c r="F121" s="20">
        <v>50</v>
      </c>
      <c r="G121" s="31">
        <v>1498</v>
      </c>
      <c r="H121" s="16">
        <v>-17232.140000000007</v>
      </c>
      <c r="I121" s="20">
        <v>29.96</v>
      </c>
      <c r="J121" s="18"/>
      <c r="K121" s="18"/>
      <c r="L121" s="18"/>
      <c r="M121" s="32"/>
    </row>
    <row r="122" spans="1:13" s="22" customFormat="1" ht="24" customHeight="1" thickBot="1">
      <c r="A122" s="21">
        <v>46034</v>
      </c>
      <c r="B122" s="22" t="s">
        <v>58</v>
      </c>
      <c r="C122" s="22" t="s">
        <v>14</v>
      </c>
      <c r="D122" s="22" t="s">
        <v>34</v>
      </c>
      <c r="E122" s="23">
        <v>197324</v>
      </c>
      <c r="F122" s="20">
        <v>50</v>
      </c>
      <c r="G122" s="31">
        <v>1498</v>
      </c>
      <c r="H122" s="16">
        <v>-18730.140000000007</v>
      </c>
      <c r="I122" s="20">
        <v>29.96</v>
      </c>
      <c r="J122" s="18"/>
      <c r="K122" s="18"/>
      <c r="L122" s="18"/>
      <c r="M122" s="32"/>
    </row>
    <row r="123" spans="1:13" s="22" customFormat="1" ht="24" customHeight="1" thickBot="1">
      <c r="A123" s="21">
        <v>46034</v>
      </c>
      <c r="B123" s="22" t="s">
        <v>49</v>
      </c>
      <c r="C123" s="22" t="s">
        <v>6</v>
      </c>
      <c r="D123" s="22" t="s">
        <v>36</v>
      </c>
      <c r="E123" s="23">
        <v>168294</v>
      </c>
      <c r="F123" s="20">
        <v>50</v>
      </c>
      <c r="G123" s="31">
        <v>1498</v>
      </c>
      <c r="H123" s="16">
        <v>-20228.140000000007</v>
      </c>
      <c r="I123" s="20">
        <v>29.96</v>
      </c>
      <c r="J123" s="18"/>
      <c r="K123" s="18"/>
      <c r="L123" s="18"/>
      <c r="M123" s="32"/>
    </row>
    <row r="124" spans="1:13" s="22" customFormat="1" ht="24" customHeight="1" thickBot="1">
      <c r="A124" s="21">
        <v>46034</v>
      </c>
      <c r="B124" s="22" t="s">
        <v>55</v>
      </c>
      <c r="C124" s="22" t="s">
        <v>15</v>
      </c>
      <c r="D124" s="22" t="s">
        <v>36</v>
      </c>
      <c r="E124" s="23">
        <v>278544</v>
      </c>
      <c r="F124" s="20">
        <v>50</v>
      </c>
      <c r="G124" s="31">
        <v>1498</v>
      </c>
      <c r="H124" s="16">
        <v>-21726.140000000007</v>
      </c>
      <c r="I124" s="20">
        <v>29.96</v>
      </c>
      <c r="J124" s="18"/>
      <c r="K124" s="18"/>
      <c r="L124" s="18"/>
      <c r="M124" s="32"/>
    </row>
    <row r="125" spans="1:13" s="22" customFormat="1" ht="24" customHeight="1" thickBot="1">
      <c r="A125" s="21">
        <v>46034</v>
      </c>
      <c r="B125" s="22" t="s">
        <v>57</v>
      </c>
      <c r="C125" s="22" t="s">
        <v>12</v>
      </c>
      <c r="D125" s="22" t="s">
        <v>34</v>
      </c>
      <c r="E125" s="23">
        <v>168340</v>
      </c>
      <c r="F125" s="20">
        <v>69.999999999999986</v>
      </c>
      <c r="G125" s="31">
        <v>2097.1999999999998</v>
      </c>
      <c r="H125" s="16">
        <v>-23823.340000000007</v>
      </c>
      <c r="I125" s="20">
        <v>29.96</v>
      </c>
      <c r="J125" s="18"/>
      <c r="K125" s="18"/>
      <c r="L125" s="18"/>
      <c r="M125" s="32"/>
    </row>
    <row r="126" spans="1:13" s="22" customFormat="1" ht="24" customHeight="1" thickBot="1">
      <c r="A126" s="21">
        <v>46034</v>
      </c>
      <c r="B126" s="22" t="s">
        <v>54</v>
      </c>
      <c r="C126" s="22" t="s">
        <v>16</v>
      </c>
      <c r="D126" s="22" t="s">
        <v>36</v>
      </c>
      <c r="E126" s="23">
        <v>232957</v>
      </c>
      <c r="F126" s="20">
        <v>50</v>
      </c>
      <c r="G126" s="31">
        <v>1498</v>
      </c>
      <c r="H126" s="16">
        <v>-25321.340000000007</v>
      </c>
      <c r="I126" s="20">
        <v>29.96</v>
      </c>
      <c r="J126" s="18"/>
      <c r="K126" s="18"/>
      <c r="L126" s="18"/>
      <c r="M126" s="32"/>
    </row>
    <row r="127" spans="1:13" s="22" customFormat="1" ht="24" customHeight="1" thickBot="1">
      <c r="A127" s="21">
        <v>46035</v>
      </c>
      <c r="B127" s="22" t="s">
        <v>42</v>
      </c>
      <c r="C127" s="22" t="s">
        <v>32</v>
      </c>
      <c r="D127" s="22" t="s">
        <v>35</v>
      </c>
      <c r="E127" s="23">
        <v>272180</v>
      </c>
      <c r="F127" s="20">
        <v>50</v>
      </c>
      <c r="G127" s="31">
        <v>1498</v>
      </c>
      <c r="H127" s="16">
        <v>-26819.340000000007</v>
      </c>
      <c r="I127" s="20">
        <v>29.96</v>
      </c>
      <c r="J127" s="18"/>
      <c r="K127" s="18"/>
      <c r="L127" s="18"/>
      <c r="M127" s="32"/>
    </row>
    <row r="128" spans="1:13" s="22" customFormat="1" ht="24" customHeight="1" thickBot="1">
      <c r="A128" s="21">
        <v>46035</v>
      </c>
      <c r="B128" s="25" t="s">
        <v>63</v>
      </c>
      <c r="C128" s="25" t="s">
        <v>13</v>
      </c>
      <c r="D128" s="22" t="s">
        <v>35</v>
      </c>
      <c r="E128" s="23">
        <v>251565</v>
      </c>
      <c r="F128" s="20">
        <v>142.85714285714286</v>
      </c>
      <c r="G128" s="31">
        <v>4280</v>
      </c>
      <c r="H128" s="16">
        <v>-31099.340000000007</v>
      </c>
      <c r="I128" s="20">
        <v>29.96</v>
      </c>
      <c r="J128" s="18"/>
      <c r="K128" s="18"/>
      <c r="L128" s="18"/>
      <c r="M128" s="32"/>
    </row>
    <row r="129" spans="1:13" s="22" customFormat="1" ht="24" customHeight="1" thickBot="1">
      <c r="A129" s="21">
        <v>46034</v>
      </c>
      <c r="B129" s="22" t="s">
        <v>52</v>
      </c>
      <c r="C129" s="22" t="s">
        <v>4</v>
      </c>
      <c r="D129" s="22" t="s">
        <v>37</v>
      </c>
      <c r="E129" s="30">
        <v>171026</v>
      </c>
      <c r="F129" s="20">
        <v>60</v>
      </c>
      <c r="G129" s="31">
        <v>1802.3999999999999</v>
      </c>
      <c r="H129" s="16">
        <v>-32901.740000000005</v>
      </c>
      <c r="I129" s="20">
        <v>30.04</v>
      </c>
      <c r="J129" s="18"/>
      <c r="K129" s="18"/>
      <c r="L129" s="18"/>
      <c r="M129" s="32"/>
    </row>
    <row r="130" spans="1:13" s="22" customFormat="1" ht="24" customHeight="1" thickBot="1">
      <c r="A130" s="21">
        <v>46035</v>
      </c>
      <c r="B130" s="22" t="s">
        <v>43</v>
      </c>
      <c r="C130" s="22" t="s">
        <v>1</v>
      </c>
      <c r="D130" s="22" t="s">
        <v>36</v>
      </c>
      <c r="E130" s="23">
        <v>168978</v>
      </c>
      <c r="F130" s="20">
        <v>90</v>
      </c>
      <c r="G130" s="31">
        <v>2696.4</v>
      </c>
      <c r="H130" s="16">
        <v>-35598.140000000007</v>
      </c>
      <c r="I130" s="20">
        <v>29.96</v>
      </c>
      <c r="J130" s="18"/>
      <c r="K130" s="18"/>
      <c r="L130" s="18"/>
      <c r="M130" s="32"/>
    </row>
    <row r="131" spans="1:13" s="22" customFormat="1" ht="24" hidden="1" customHeight="1" thickBot="1">
      <c r="A131" s="21">
        <v>46035</v>
      </c>
      <c r="B131" s="26" t="s">
        <v>20</v>
      </c>
      <c r="C131" s="26" t="s">
        <v>20</v>
      </c>
      <c r="D131" s="26" t="s">
        <v>20</v>
      </c>
      <c r="E131" s="27" t="s">
        <v>65</v>
      </c>
      <c r="F131" s="20" t="s">
        <v>20</v>
      </c>
      <c r="G131" s="31">
        <v>-100000</v>
      </c>
      <c r="H131" s="16">
        <v>64401.859999999993</v>
      </c>
      <c r="I131" s="20">
        <v>29.96</v>
      </c>
      <c r="J131" s="28" t="s">
        <v>77</v>
      </c>
      <c r="K131" s="18"/>
      <c r="L131" s="18"/>
      <c r="M131" s="32"/>
    </row>
    <row r="132" spans="1:13" s="22" customFormat="1" ht="24" customHeight="1" thickBot="1">
      <c r="A132" s="21">
        <v>46035</v>
      </c>
      <c r="B132" s="22" t="s">
        <v>49</v>
      </c>
      <c r="C132" s="22" t="s">
        <v>6</v>
      </c>
      <c r="D132" s="22" t="s">
        <v>36</v>
      </c>
      <c r="E132" s="23">
        <v>168476</v>
      </c>
      <c r="F132" s="20">
        <v>50</v>
      </c>
      <c r="G132" s="31">
        <v>1498</v>
      </c>
      <c r="H132" s="16">
        <v>62903.859999999993</v>
      </c>
      <c r="I132" s="20">
        <v>29.96</v>
      </c>
      <c r="J132" s="18"/>
      <c r="K132" s="18"/>
      <c r="L132" s="18"/>
      <c r="M132" s="32"/>
    </row>
    <row r="133" spans="1:13" s="22" customFormat="1" ht="24" customHeight="1" thickBot="1">
      <c r="A133" s="21">
        <v>46035</v>
      </c>
      <c r="B133" s="22" t="s">
        <v>51</v>
      </c>
      <c r="C133" s="22" t="s">
        <v>3</v>
      </c>
      <c r="D133" s="22" t="s">
        <v>34</v>
      </c>
      <c r="E133" s="23">
        <v>303024</v>
      </c>
      <c r="F133" s="20">
        <v>50</v>
      </c>
      <c r="G133" s="31">
        <v>1498</v>
      </c>
      <c r="H133" s="16">
        <v>61405.859999999993</v>
      </c>
      <c r="I133" s="20">
        <v>29.96</v>
      </c>
      <c r="J133" s="18"/>
      <c r="K133" s="18"/>
      <c r="L133" s="18"/>
      <c r="M133" s="32"/>
    </row>
    <row r="134" spans="1:13" s="22" customFormat="1" ht="24" customHeight="1" thickBot="1">
      <c r="A134" s="21">
        <v>46035</v>
      </c>
      <c r="B134" s="22" t="s">
        <v>53</v>
      </c>
      <c r="C134" s="22" t="s">
        <v>10</v>
      </c>
      <c r="D134" s="22" t="s">
        <v>36</v>
      </c>
      <c r="E134" s="23">
        <v>292553</v>
      </c>
      <c r="F134" s="20">
        <v>50</v>
      </c>
      <c r="G134" s="31">
        <v>1498</v>
      </c>
      <c r="H134" s="16">
        <v>59907.859999999993</v>
      </c>
      <c r="I134" s="20">
        <v>29.96</v>
      </c>
      <c r="J134" s="18"/>
      <c r="K134" s="18"/>
      <c r="L134" s="18"/>
      <c r="M134" s="32"/>
    </row>
    <row r="135" spans="1:13" s="22" customFormat="1" ht="24" customHeight="1" thickBot="1">
      <c r="A135" s="21">
        <v>46035</v>
      </c>
      <c r="B135" s="22" t="s">
        <v>58</v>
      </c>
      <c r="C135" s="22" t="s">
        <v>14</v>
      </c>
      <c r="D135" s="22" t="s">
        <v>36</v>
      </c>
      <c r="E135" s="23">
        <v>197508</v>
      </c>
      <c r="F135" s="20">
        <v>50</v>
      </c>
      <c r="G135" s="31">
        <v>1498</v>
      </c>
      <c r="H135" s="16">
        <v>58409.859999999993</v>
      </c>
      <c r="I135" s="20">
        <v>29.96</v>
      </c>
      <c r="J135" s="18"/>
      <c r="K135" s="18"/>
      <c r="L135" s="18"/>
      <c r="M135" s="32"/>
    </row>
    <row r="136" spans="1:13" s="22" customFormat="1" ht="24" customHeight="1" thickBot="1">
      <c r="A136" s="21">
        <v>46035</v>
      </c>
      <c r="B136" s="22" t="s">
        <v>46</v>
      </c>
      <c r="C136" s="25" t="s">
        <v>47</v>
      </c>
      <c r="D136" s="22" t="s">
        <v>36</v>
      </c>
      <c r="E136" s="23">
        <v>235970</v>
      </c>
      <c r="F136" s="20">
        <v>50</v>
      </c>
      <c r="G136" s="31">
        <v>1498</v>
      </c>
      <c r="H136" s="16">
        <v>56911.859999999993</v>
      </c>
      <c r="I136" s="20">
        <v>29.96</v>
      </c>
      <c r="J136" s="18"/>
      <c r="K136" s="18"/>
      <c r="L136" s="18"/>
      <c r="M136" s="32"/>
    </row>
    <row r="137" spans="1:13" s="22" customFormat="1" ht="24" customHeight="1" thickBot="1">
      <c r="A137" s="21">
        <v>46035</v>
      </c>
      <c r="B137" s="22" t="s">
        <v>48</v>
      </c>
      <c r="C137" s="22" t="s">
        <v>17</v>
      </c>
      <c r="D137" s="22" t="s">
        <v>36</v>
      </c>
      <c r="E137" s="23">
        <v>157516</v>
      </c>
      <c r="F137" s="20">
        <v>50</v>
      </c>
      <c r="G137" s="31">
        <v>1498</v>
      </c>
      <c r="H137" s="16">
        <v>55413.859999999993</v>
      </c>
      <c r="I137" s="20">
        <v>29.96</v>
      </c>
      <c r="J137" s="18"/>
      <c r="K137" s="18"/>
      <c r="L137" s="18"/>
      <c r="M137" s="32"/>
    </row>
    <row r="138" spans="1:13" s="22" customFormat="1" ht="24" customHeight="1" thickBot="1">
      <c r="A138" s="21">
        <v>46035</v>
      </c>
      <c r="B138" s="22" t="s">
        <v>54</v>
      </c>
      <c r="C138" s="22" t="s">
        <v>16</v>
      </c>
      <c r="D138" s="22" t="s">
        <v>35</v>
      </c>
      <c r="E138" s="23">
        <v>233144</v>
      </c>
      <c r="F138" s="20">
        <v>50</v>
      </c>
      <c r="G138" s="31">
        <v>1498</v>
      </c>
      <c r="H138" s="16">
        <v>53915.859999999993</v>
      </c>
      <c r="I138" s="20">
        <v>29.96</v>
      </c>
      <c r="J138" s="18"/>
      <c r="K138" s="18"/>
      <c r="L138" s="18"/>
      <c r="M138" s="32"/>
    </row>
    <row r="139" spans="1:13" s="22" customFormat="1" ht="24" customHeight="1" thickBot="1">
      <c r="A139" s="21">
        <v>46035</v>
      </c>
      <c r="B139" s="22" t="s">
        <v>42</v>
      </c>
      <c r="C139" s="22" t="s">
        <v>32</v>
      </c>
      <c r="D139" s="22" t="s">
        <v>34</v>
      </c>
      <c r="E139" s="23">
        <v>272297</v>
      </c>
      <c r="F139" s="20">
        <v>50</v>
      </c>
      <c r="G139" s="31">
        <v>1498</v>
      </c>
      <c r="H139" s="16">
        <v>52417.859999999993</v>
      </c>
      <c r="I139" s="20">
        <v>29.96</v>
      </c>
      <c r="J139" s="18"/>
      <c r="K139" s="18"/>
      <c r="L139" s="18"/>
      <c r="M139" s="32"/>
    </row>
    <row r="140" spans="1:13" s="22" customFormat="1" ht="24" customHeight="1" thickBot="1">
      <c r="A140" s="21">
        <v>46035</v>
      </c>
      <c r="B140" s="22" t="s">
        <v>52</v>
      </c>
      <c r="C140" s="22" t="s">
        <v>4</v>
      </c>
      <c r="D140" s="22" t="s">
        <v>37</v>
      </c>
      <c r="E140" s="23">
        <v>171301</v>
      </c>
      <c r="F140" s="20">
        <v>60</v>
      </c>
      <c r="G140" s="31">
        <v>1802.3999999999999</v>
      </c>
      <c r="H140" s="16">
        <v>50615.459999999992</v>
      </c>
      <c r="I140" s="20">
        <v>30.04</v>
      </c>
      <c r="J140" s="18"/>
      <c r="K140" s="18"/>
      <c r="L140" s="18"/>
      <c r="M140" s="32"/>
    </row>
    <row r="141" spans="1:13" s="22" customFormat="1" ht="24" customHeight="1" thickBot="1">
      <c r="A141" s="21">
        <v>46035</v>
      </c>
      <c r="B141" s="22" t="s">
        <v>46</v>
      </c>
      <c r="C141" s="25" t="s">
        <v>47</v>
      </c>
      <c r="D141" s="22" t="s">
        <v>34</v>
      </c>
      <c r="E141" s="23">
        <v>236057</v>
      </c>
      <c r="F141" s="20">
        <v>50</v>
      </c>
      <c r="G141" s="31">
        <v>1498</v>
      </c>
      <c r="H141" s="16">
        <v>49117.459999999992</v>
      </c>
      <c r="I141" s="20">
        <v>29.96</v>
      </c>
      <c r="J141" s="18"/>
      <c r="K141" s="18"/>
      <c r="L141" s="18"/>
      <c r="M141" s="32"/>
    </row>
    <row r="142" spans="1:13" s="22" customFormat="1" ht="24" customHeight="1" thickBot="1">
      <c r="A142" s="21">
        <v>46036</v>
      </c>
      <c r="B142" s="22" t="s">
        <v>49</v>
      </c>
      <c r="C142" s="22" t="s">
        <v>6</v>
      </c>
      <c r="D142" s="22" t="s">
        <v>35</v>
      </c>
      <c r="E142" s="30">
        <v>168600</v>
      </c>
      <c r="F142" s="20">
        <v>50</v>
      </c>
      <c r="G142" s="31">
        <v>1498</v>
      </c>
      <c r="H142" s="16">
        <v>47619.459999999992</v>
      </c>
      <c r="I142" s="20">
        <v>29.96</v>
      </c>
      <c r="J142" s="18"/>
      <c r="K142" s="18"/>
      <c r="L142" s="18"/>
      <c r="M142" s="32"/>
    </row>
    <row r="143" spans="1:13" s="22" customFormat="1" ht="24" customHeight="1" thickBot="1">
      <c r="A143" s="21">
        <v>46036</v>
      </c>
      <c r="B143" s="22" t="s">
        <v>55</v>
      </c>
      <c r="C143" s="22" t="s">
        <v>15</v>
      </c>
      <c r="D143" s="22" t="s">
        <v>36</v>
      </c>
      <c r="E143" s="23">
        <v>278637</v>
      </c>
      <c r="F143" s="20">
        <v>50</v>
      </c>
      <c r="G143" s="31">
        <v>1498</v>
      </c>
      <c r="H143" s="16">
        <v>46121.459999999992</v>
      </c>
      <c r="I143" s="20">
        <v>29.96</v>
      </c>
      <c r="J143" s="18"/>
      <c r="K143" s="18"/>
      <c r="L143" s="18"/>
      <c r="M143" s="32"/>
    </row>
    <row r="144" spans="1:13" s="22" customFormat="1" ht="24" customHeight="1" thickBot="1">
      <c r="A144" s="21">
        <v>46036</v>
      </c>
      <c r="B144" s="22" t="s">
        <v>43</v>
      </c>
      <c r="C144" s="22" t="s">
        <v>1</v>
      </c>
      <c r="D144" s="22" t="s">
        <v>36</v>
      </c>
      <c r="E144" s="23">
        <v>169295</v>
      </c>
      <c r="F144" s="20">
        <v>50</v>
      </c>
      <c r="G144" s="31">
        <v>1498</v>
      </c>
      <c r="H144" s="16">
        <v>44623.459999999992</v>
      </c>
      <c r="I144" s="20">
        <v>29.96</v>
      </c>
      <c r="J144" s="18"/>
      <c r="K144" s="18"/>
      <c r="L144" s="18"/>
      <c r="M144" s="32"/>
    </row>
    <row r="145" spans="1:13" s="22" customFormat="1" ht="24" customHeight="1" thickBot="1">
      <c r="A145" s="21">
        <v>46036</v>
      </c>
      <c r="B145" s="22" t="s">
        <v>42</v>
      </c>
      <c r="C145" s="22" t="s">
        <v>32</v>
      </c>
      <c r="D145" s="22" t="s">
        <v>34</v>
      </c>
      <c r="E145" s="23">
        <v>272413</v>
      </c>
      <c r="F145" s="20">
        <v>50</v>
      </c>
      <c r="G145" s="31">
        <v>1498</v>
      </c>
      <c r="H145" s="16">
        <v>43125.459999999992</v>
      </c>
      <c r="I145" s="20">
        <v>29.96</v>
      </c>
      <c r="J145" s="18"/>
      <c r="K145" s="18"/>
      <c r="L145" s="18"/>
      <c r="M145" s="32"/>
    </row>
    <row r="146" spans="1:13" s="22" customFormat="1" ht="24" customHeight="1" thickBot="1">
      <c r="A146" s="21">
        <v>46036</v>
      </c>
      <c r="B146" s="22" t="s">
        <v>48</v>
      </c>
      <c r="C146" s="22" t="s">
        <v>17</v>
      </c>
      <c r="D146" s="22" t="s">
        <v>36</v>
      </c>
      <c r="E146" s="23">
        <v>157632</v>
      </c>
      <c r="F146" s="20">
        <v>50</v>
      </c>
      <c r="G146" s="31">
        <v>1498</v>
      </c>
      <c r="H146" s="16">
        <v>41627.459999999992</v>
      </c>
      <c r="I146" s="20">
        <v>29.96</v>
      </c>
      <c r="J146" s="18"/>
      <c r="K146" s="18"/>
      <c r="L146" s="18"/>
      <c r="M146" s="32"/>
    </row>
    <row r="147" spans="1:13" s="22" customFormat="1" ht="24" customHeight="1" thickBot="1">
      <c r="A147" s="21">
        <v>46036</v>
      </c>
      <c r="B147" s="22" t="s">
        <v>51</v>
      </c>
      <c r="C147" s="22" t="s">
        <v>3</v>
      </c>
      <c r="D147" s="22" t="s">
        <v>34</v>
      </c>
      <c r="E147" s="23">
        <v>303151</v>
      </c>
      <c r="F147" s="20">
        <v>50</v>
      </c>
      <c r="G147" s="31">
        <v>1498</v>
      </c>
      <c r="H147" s="16">
        <v>40129.459999999992</v>
      </c>
      <c r="I147" s="20">
        <v>29.96</v>
      </c>
      <c r="J147" s="18"/>
      <c r="K147" s="18"/>
      <c r="L147" s="18"/>
      <c r="M147" s="32"/>
    </row>
    <row r="148" spans="1:13" s="22" customFormat="1" ht="24" customHeight="1" thickBot="1">
      <c r="A148" s="21">
        <v>46036</v>
      </c>
      <c r="B148" s="22" t="s">
        <v>60</v>
      </c>
      <c r="C148" s="22" t="s">
        <v>2</v>
      </c>
      <c r="D148" s="22" t="s">
        <v>34</v>
      </c>
      <c r="E148" s="23">
        <v>146634</v>
      </c>
      <c r="F148" s="20">
        <v>50</v>
      </c>
      <c r="G148" s="31">
        <v>1498</v>
      </c>
      <c r="H148" s="16">
        <v>38631.459999999992</v>
      </c>
      <c r="I148" s="20">
        <v>29.96</v>
      </c>
      <c r="J148" s="18"/>
      <c r="K148" s="18"/>
      <c r="L148" s="18"/>
      <c r="M148" s="32"/>
    </row>
    <row r="149" spans="1:13" s="22" customFormat="1" ht="24" customHeight="1" thickBot="1">
      <c r="A149" s="21">
        <v>46036</v>
      </c>
      <c r="B149" s="22" t="s">
        <v>53</v>
      </c>
      <c r="C149" s="22" t="s">
        <v>10</v>
      </c>
      <c r="D149" s="22" t="s">
        <v>34</v>
      </c>
      <c r="E149" s="23">
        <v>292650</v>
      </c>
      <c r="F149" s="20">
        <v>50</v>
      </c>
      <c r="G149" s="31">
        <v>1498</v>
      </c>
      <c r="H149" s="16">
        <v>37133.459999999992</v>
      </c>
      <c r="I149" s="20">
        <v>29.96</v>
      </c>
      <c r="J149" s="18"/>
      <c r="K149" s="18"/>
      <c r="L149" s="18"/>
      <c r="M149" s="32"/>
    </row>
    <row r="150" spans="1:13" s="22" customFormat="1" ht="24" customHeight="1" thickBot="1">
      <c r="A150" s="21">
        <v>46036</v>
      </c>
      <c r="B150" s="22" t="s">
        <v>58</v>
      </c>
      <c r="C150" s="22" t="s">
        <v>14</v>
      </c>
      <c r="D150" s="22" t="s">
        <v>34</v>
      </c>
      <c r="E150" s="23">
        <v>197625</v>
      </c>
      <c r="F150" s="20">
        <v>50</v>
      </c>
      <c r="G150" s="31">
        <v>1498</v>
      </c>
      <c r="H150" s="16">
        <v>35635.459999999992</v>
      </c>
      <c r="I150" s="20">
        <v>29.96</v>
      </c>
      <c r="J150" s="18"/>
      <c r="K150" s="18"/>
      <c r="L150" s="18"/>
      <c r="M150" s="32"/>
    </row>
    <row r="151" spans="1:13" s="22" customFormat="1" ht="24" customHeight="1" thickBot="1">
      <c r="A151" s="21">
        <v>46036</v>
      </c>
      <c r="B151" s="22" t="s">
        <v>57</v>
      </c>
      <c r="C151" s="22" t="s">
        <v>12</v>
      </c>
      <c r="D151" s="22" t="s">
        <v>36</v>
      </c>
      <c r="E151" s="23">
        <v>168626</v>
      </c>
      <c r="F151" s="20">
        <v>50</v>
      </c>
      <c r="G151" s="31">
        <v>1498</v>
      </c>
      <c r="H151" s="16">
        <v>34137.459999999992</v>
      </c>
      <c r="I151" s="20">
        <v>29.96</v>
      </c>
      <c r="J151" s="18"/>
      <c r="K151" s="18"/>
      <c r="L151" s="18"/>
      <c r="M151" s="32"/>
    </row>
    <row r="152" spans="1:13" s="22" customFormat="1" ht="24" customHeight="1" thickBot="1">
      <c r="A152" s="21">
        <v>46036</v>
      </c>
      <c r="B152" s="22" t="s">
        <v>59</v>
      </c>
      <c r="C152" s="22" t="s">
        <v>11</v>
      </c>
      <c r="D152" s="22" t="s">
        <v>35</v>
      </c>
      <c r="E152" s="23">
        <v>233607</v>
      </c>
      <c r="F152" s="20">
        <v>50</v>
      </c>
      <c r="G152" s="31">
        <v>1498</v>
      </c>
      <c r="H152" s="16">
        <v>32639.459999999992</v>
      </c>
      <c r="I152" s="20">
        <v>29.96</v>
      </c>
      <c r="J152" s="18"/>
      <c r="K152" s="18"/>
      <c r="L152" s="18"/>
      <c r="M152" s="32"/>
    </row>
    <row r="153" spans="1:13" s="22" customFormat="1" ht="24" customHeight="1" thickBot="1">
      <c r="A153" s="21">
        <v>46036</v>
      </c>
      <c r="B153" s="22" t="s">
        <v>61</v>
      </c>
      <c r="C153" s="22" t="s">
        <v>62</v>
      </c>
      <c r="D153" s="22" t="s">
        <v>36</v>
      </c>
      <c r="E153" s="23">
        <v>822166</v>
      </c>
      <c r="F153" s="20">
        <v>266.99933244325769</v>
      </c>
      <c r="G153" s="31">
        <v>7999.3</v>
      </c>
      <c r="H153" s="16">
        <v>24640.159999999993</v>
      </c>
      <c r="I153" s="20">
        <v>29.96</v>
      </c>
      <c r="J153" s="18"/>
      <c r="K153" s="18"/>
      <c r="L153" s="18"/>
      <c r="M153" s="32"/>
    </row>
    <row r="154" spans="1:13" s="22" customFormat="1" ht="24" customHeight="1" thickBot="1">
      <c r="A154" s="21">
        <v>46036</v>
      </c>
      <c r="B154" s="22" t="s">
        <v>39</v>
      </c>
      <c r="C154" s="22" t="s">
        <v>64</v>
      </c>
      <c r="D154" s="22" t="s">
        <v>34</v>
      </c>
      <c r="E154" s="23" t="s">
        <v>20</v>
      </c>
      <c r="F154" s="20">
        <v>16.688918558077436</v>
      </c>
      <c r="G154" s="31">
        <v>500</v>
      </c>
      <c r="H154" s="16">
        <v>24140.159999999993</v>
      </c>
      <c r="I154" s="20">
        <v>29.96</v>
      </c>
      <c r="J154" s="18"/>
      <c r="K154" s="18"/>
      <c r="L154" s="18"/>
      <c r="M154" s="32"/>
    </row>
    <row r="155" spans="1:13" s="22" customFormat="1" ht="24" customHeight="1" thickBot="1">
      <c r="A155" s="21">
        <v>46036</v>
      </c>
      <c r="B155" s="22" t="s">
        <v>49</v>
      </c>
      <c r="C155" s="22" t="s">
        <v>6</v>
      </c>
      <c r="D155" s="22" t="s">
        <v>36</v>
      </c>
      <c r="E155" s="23">
        <v>168735</v>
      </c>
      <c r="F155" s="20">
        <v>50</v>
      </c>
      <c r="G155" s="31">
        <v>1498</v>
      </c>
      <c r="H155" s="16">
        <v>22642.159999999993</v>
      </c>
      <c r="I155" s="20">
        <v>29.96</v>
      </c>
      <c r="J155" s="18"/>
      <c r="K155" s="18"/>
      <c r="L155" s="18"/>
      <c r="M155" s="32"/>
    </row>
    <row r="156" spans="1:13" s="22" customFormat="1" ht="24" customHeight="1" thickBot="1">
      <c r="A156" s="21">
        <v>46036</v>
      </c>
      <c r="B156" s="22" t="s">
        <v>48</v>
      </c>
      <c r="C156" s="22" t="s">
        <v>17</v>
      </c>
      <c r="D156" s="22" t="s">
        <v>34</v>
      </c>
      <c r="E156" s="23">
        <v>157741</v>
      </c>
      <c r="F156" s="20">
        <v>50</v>
      </c>
      <c r="G156" s="31">
        <v>1498</v>
      </c>
      <c r="H156" s="16">
        <v>21144.159999999993</v>
      </c>
      <c r="I156" s="20">
        <v>29.96</v>
      </c>
      <c r="J156" s="18"/>
      <c r="K156" s="18"/>
      <c r="L156" s="18"/>
      <c r="M156" s="32"/>
    </row>
    <row r="157" spans="1:13" s="22" customFormat="1" ht="24" customHeight="1" thickBot="1">
      <c r="A157" s="21">
        <v>46036</v>
      </c>
      <c r="B157" s="22" t="s">
        <v>52</v>
      </c>
      <c r="C157" s="22" t="s">
        <v>4</v>
      </c>
      <c r="D157" s="22" t="s">
        <v>34</v>
      </c>
      <c r="E157" s="23">
        <v>171581</v>
      </c>
      <c r="F157" s="20">
        <v>50</v>
      </c>
      <c r="G157" s="31">
        <v>1498</v>
      </c>
      <c r="H157" s="16">
        <v>19646.159999999993</v>
      </c>
      <c r="I157" s="20">
        <v>29.96</v>
      </c>
      <c r="J157" s="18"/>
      <c r="K157" s="18"/>
      <c r="L157" s="18"/>
      <c r="M157" s="32"/>
    </row>
    <row r="158" spans="1:13" s="22" customFormat="1" ht="24" customHeight="1" thickBot="1">
      <c r="A158" s="21">
        <v>46036</v>
      </c>
      <c r="B158" s="22" t="s">
        <v>53</v>
      </c>
      <c r="C158" s="22" t="s">
        <v>10</v>
      </c>
      <c r="D158" s="22" t="s">
        <v>34</v>
      </c>
      <c r="E158" s="23">
        <v>292835</v>
      </c>
      <c r="F158" s="20">
        <v>90</v>
      </c>
      <c r="G158" s="31">
        <v>2696.4</v>
      </c>
      <c r="H158" s="16">
        <v>16949.759999999991</v>
      </c>
      <c r="I158" s="20">
        <v>29.96</v>
      </c>
      <c r="J158" s="18"/>
      <c r="K158" s="18"/>
      <c r="L158" s="18"/>
      <c r="M158" s="32"/>
    </row>
    <row r="159" spans="1:13" s="22" customFormat="1" ht="24" customHeight="1" thickBot="1">
      <c r="A159" s="21">
        <v>46037</v>
      </c>
      <c r="B159" s="22" t="s">
        <v>42</v>
      </c>
      <c r="C159" s="22" t="s">
        <v>32</v>
      </c>
      <c r="D159" s="22" t="s">
        <v>35</v>
      </c>
      <c r="E159" s="23">
        <v>272510</v>
      </c>
      <c r="F159" s="20">
        <v>50</v>
      </c>
      <c r="G159" s="31">
        <v>1498</v>
      </c>
      <c r="H159" s="16">
        <v>15451.759999999991</v>
      </c>
      <c r="I159" s="20">
        <v>29.96</v>
      </c>
      <c r="J159" s="18"/>
      <c r="K159" s="18"/>
      <c r="L159" s="18"/>
      <c r="M159" s="32"/>
    </row>
    <row r="160" spans="1:13" s="22" customFormat="1" ht="24" customHeight="1" thickBot="1">
      <c r="A160" s="21">
        <v>46037</v>
      </c>
      <c r="B160" s="22" t="s">
        <v>55</v>
      </c>
      <c r="C160" s="22" t="s">
        <v>15</v>
      </c>
      <c r="D160" s="22" t="s">
        <v>34</v>
      </c>
      <c r="E160" s="30">
        <v>278891</v>
      </c>
      <c r="F160" s="20">
        <v>50</v>
      </c>
      <c r="G160" s="31">
        <v>1498</v>
      </c>
      <c r="H160" s="16">
        <v>13953.759999999991</v>
      </c>
      <c r="I160" s="20">
        <v>29.96</v>
      </c>
      <c r="J160" s="18"/>
      <c r="K160" s="18"/>
      <c r="L160" s="18"/>
      <c r="M160" s="32"/>
    </row>
    <row r="161" spans="1:13" s="22" customFormat="1" ht="24" customHeight="1" thickBot="1">
      <c r="A161" s="21">
        <v>46037</v>
      </c>
      <c r="B161" s="22" t="s">
        <v>54</v>
      </c>
      <c r="C161" s="22" t="s">
        <v>16</v>
      </c>
      <c r="D161" s="22" t="s">
        <v>36</v>
      </c>
      <c r="E161" s="30">
        <v>233394</v>
      </c>
      <c r="F161" s="20">
        <v>50</v>
      </c>
      <c r="G161" s="31">
        <v>1498</v>
      </c>
      <c r="H161" s="16">
        <v>12455.759999999991</v>
      </c>
      <c r="I161" s="20">
        <v>29.96</v>
      </c>
      <c r="J161" s="18"/>
      <c r="K161" s="18"/>
      <c r="L161" s="18"/>
      <c r="M161" s="32"/>
    </row>
    <row r="162" spans="1:13" s="22" customFormat="1" ht="24" customHeight="1" thickBot="1">
      <c r="A162" s="21">
        <v>46037</v>
      </c>
      <c r="B162" s="22" t="s">
        <v>49</v>
      </c>
      <c r="C162" s="22" t="s">
        <v>6</v>
      </c>
      <c r="D162" s="22" t="s">
        <v>36</v>
      </c>
      <c r="E162" s="23">
        <v>168916</v>
      </c>
      <c r="F162" s="20">
        <v>50</v>
      </c>
      <c r="G162" s="31">
        <v>1498</v>
      </c>
      <c r="H162" s="16">
        <v>10957.759999999991</v>
      </c>
      <c r="I162" s="20">
        <v>29.96</v>
      </c>
      <c r="J162" s="18"/>
      <c r="K162" s="18"/>
      <c r="L162" s="18"/>
      <c r="M162" s="32"/>
    </row>
    <row r="163" spans="1:13" s="22" customFormat="1" ht="24" customHeight="1" thickBot="1">
      <c r="A163" s="21">
        <v>46037</v>
      </c>
      <c r="B163" s="22" t="s">
        <v>56</v>
      </c>
      <c r="C163" s="22" t="s">
        <v>8</v>
      </c>
      <c r="D163" s="22" t="s">
        <v>34</v>
      </c>
      <c r="E163" s="23">
        <v>293508</v>
      </c>
      <c r="F163" s="20">
        <v>50</v>
      </c>
      <c r="G163" s="31">
        <v>1498</v>
      </c>
      <c r="H163" s="16">
        <v>9459.7599999999911</v>
      </c>
      <c r="I163" s="20">
        <v>29.96</v>
      </c>
      <c r="J163" s="18"/>
      <c r="K163" s="18"/>
      <c r="L163" s="18"/>
      <c r="M163" s="32"/>
    </row>
    <row r="164" spans="1:13" s="22" customFormat="1" ht="24" customHeight="1" thickBot="1">
      <c r="A164" s="21">
        <v>46037</v>
      </c>
      <c r="B164" s="22" t="s">
        <v>43</v>
      </c>
      <c r="C164" s="22" t="s">
        <v>1</v>
      </c>
      <c r="D164" s="22" t="s">
        <v>36</v>
      </c>
      <c r="E164" s="30">
        <v>169393</v>
      </c>
      <c r="F164" s="20">
        <v>83.000667556742314</v>
      </c>
      <c r="G164" s="31">
        <v>2486.6999999999998</v>
      </c>
      <c r="H164" s="16">
        <v>6973.0599999999913</v>
      </c>
      <c r="I164" s="20">
        <v>29.96</v>
      </c>
      <c r="J164" s="18"/>
      <c r="K164" s="18"/>
      <c r="L164" s="18"/>
      <c r="M164" s="32"/>
    </row>
    <row r="165" spans="1:13" s="22" customFormat="1" ht="24" customHeight="1" thickBot="1">
      <c r="A165" s="21">
        <v>46037</v>
      </c>
      <c r="B165" s="22" t="s">
        <v>59</v>
      </c>
      <c r="C165" s="22" t="s">
        <v>11</v>
      </c>
      <c r="D165" s="22" t="s">
        <v>36</v>
      </c>
      <c r="E165" s="23">
        <v>233744</v>
      </c>
      <c r="F165" s="20">
        <v>50</v>
      </c>
      <c r="G165" s="31">
        <v>1498</v>
      </c>
      <c r="H165" s="16">
        <v>5475.0599999999913</v>
      </c>
      <c r="I165" s="20">
        <v>29.96</v>
      </c>
      <c r="J165" s="18"/>
      <c r="K165" s="18"/>
      <c r="L165" s="18"/>
      <c r="M165" s="32"/>
    </row>
    <row r="166" spans="1:13" s="22" customFormat="1" ht="24" customHeight="1" thickBot="1">
      <c r="A166" s="21">
        <v>46037</v>
      </c>
      <c r="B166" s="22" t="s">
        <v>51</v>
      </c>
      <c r="C166" s="22" t="s">
        <v>3</v>
      </c>
      <c r="D166" s="22" t="s">
        <v>36</v>
      </c>
      <c r="E166" s="23">
        <v>303261</v>
      </c>
      <c r="F166" s="20">
        <v>50</v>
      </c>
      <c r="G166" s="31">
        <v>1498</v>
      </c>
      <c r="H166" s="16">
        <v>3977.0599999999913</v>
      </c>
      <c r="I166" s="20">
        <v>29.96</v>
      </c>
      <c r="J166" s="18"/>
      <c r="K166" s="18"/>
      <c r="L166" s="18"/>
      <c r="M166" s="32"/>
    </row>
    <row r="167" spans="1:13" s="22" customFormat="1" ht="24" customHeight="1" thickBot="1">
      <c r="A167" s="21">
        <v>46037</v>
      </c>
      <c r="B167" s="22" t="s">
        <v>46</v>
      </c>
      <c r="C167" s="25" t="s">
        <v>47</v>
      </c>
      <c r="D167" s="22" t="s">
        <v>36</v>
      </c>
      <c r="E167" s="23">
        <v>236134</v>
      </c>
      <c r="F167" s="20">
        <v>50</v>
      </c>
      <c r="G167" s="31">
        <v>1498</v>
      </c>
      <c r="H167" s="16">
        <v>2479.0599999999913</v>
      </c>
      <c r="I167" s="20">
        <v>29.96</v>
      </c>
      <c r="J167" s="18"/>
      <c r="K167" s="18"/>
      <c r="L167" s="18"/>
      <c r="M167" s="32"/>
    </row>
    <row r="168" spans="1:13" s="22" customFormat="1" ht="24" customHeight="1" thickBot="1">
      <c r="A168" s="21">
        <v>46037</v>
      </c>
      <c r="B168" s="22" t="s">
        <v>57</v>
      </c>
      <c r="C168" s="22" t="s">
        <v>12</v>
      </c>
      <c r="D168" s="22" t="s">
        <v>36</v>
      </c>
      <c r="E168" s="23">
        <v>168790</v>
      </c>
      <c r="F168" s="20">
        <v>50</v>
      </c>
      <c r="G168" s="31">
        <v>1498</v>
      </c>
      <c r="H168" s="16">
        <v>981.05999999999131</v>
      </c>
      <c r="I168" s="20">
        <v>29.96</v>
      </c>
      <c r="J168" s="18"/>
      <c r="K168" s="18"/>
      <c r="L168" s="18"/>
      <c r="M168" s="32"/>
    </row>
    <row r="169" spans="1:13" s="22" customFormat="1" ht="24" customHeight="1" thickBot="1">
      <c r="A169" s="21">
        <v>46037</v>
      </c>
      <c r="B169" s="22" t="s">
        <v>58</v>
      </c>
      <c r="C169" s="22" t="s">
        <v>14</v>
      </c>
      <c r="D169" s="22" t="s">
        <v>34</v>
      </c>
      <c r="E169" s="23">
        <v>197737</v>
      </c>
      <c r="F169" s="20">
        <v>50</v>
      </c>
      <c r="G169" s="31">
        <v>1498</v>
      </c>
      <c r="H169" s="16">
        <v>-516.94000000000869</v>
      </c>
      <c r="I169" s="20">
        <v>29.96</v>
      </c>
      <c r="J169" s="18"/>
      <c r="K169" s="18"/>
      <c r="L169" s="18"/>
      <c r="M169" s="32"/>
    </row>
    <row r="170" spans="1:13" s="22" customFormat="1" ht="24" customHeight="1" thickBot="1">
      <c r="A170" s="21">
        <v>46037</v>
      </c>
      <c r="B170" s="22" t="s">
        <v>39</v>
      </c>
      <c r="C170" s="22" t="s">
        <v>64</v>
      </c>
      <c r="D170" s="22" t="s">
        <v>34</v>
      </c>
      <c r="E170" s="23" t="s">
        <v>20</v>
      </c>
      <c r="F170" s="20">
        <v>16.688918558077436</v>
      </c>
      <c r="G170" s="31">
        <v>500</v>
      </c>
      <c r="H170" s="16">
        <v>-1016.9400000000087</v>
      </c>
      <c r="I170" s="20">
        <v>29.96</v>
      </c>
      <c r="J170" s="18"/>
      <c r="K170" s="18"/>
      <c r="L170" s="18"/>
      <c r="M170" s="32"/>
    </row>
    <row r="171" spans="1:13" s="22" customFormat="1" ht="24" customHeight="1" thickBot="1">
      <c r="A171" s="21">
        <v>46037</v>
      </c>
      <c r="B171" s="22" t="s">
        <v>59</v>
      </c>
      <c r="C171" s="22" t="s">
        <v>11</v>
      </c>
      <c r="D171" s="22" t="s">
        <v>36</v>
      </c>
      <c r="E171" s="23">
        <v>233883</v>
      </c>
      <c r="F171" s="20">
        <v>50</v>
      </c>
      <c r="G171" s="31">
        <v>1498</v>
      </c>
      <c r="H171" s="16">
        <v>-2514.9400000000087</v>
      </c>
      <c r="I171" s="20">
        <v>29.96</v>
      </c>
      <c r="J171" s="18"/>
      <c r="K171" s="18"/>
      <c r="L171" s="18"/>
      <c r="M171" s="32"/>
    </row>
    <row r="172" spans="1:13" s="22" customFormat="1" ht="24" customHeight="1" thickBot="1">
      <c r="A172" s="21">
        <v>46037</v>
      </c>
      <c r="B172" s="22" t="s">
        <v>48</v>
      </c>
      <c r="C172" s="22" t="s">
        <v>17</v>
      </c>
      <c r="D172" s="22" t="s">
        <v>34</v>
      </c>
      <c r="E172" s="23">
        <v>157859</v>
      </c>
      <c r="F172" s="20">
        <v>50</v>
      </c>
      <c r="G172" s="31">
        <v>1498</v>
      </c>
      <c r="H172" s="16">
        <v>-4012.9400000000087</v>
      </c>
      <c r="I172" s="20">
        <v>29.96</v>
      </c>
      <c r="J172" s="18"/>
      <c r="K172" s="18"/>
      <c r="L172" s="18"/>
      <c r="M172" s="32"/>
    </row>
    <row r="173" spans="1:13" s="22" customFormat="1" ht="24" customHeight="1" thickBot="1">
      <c r="A173" s="21">
        <v>46037</v>
      </c>
      <c r="B173" s="22" t="s">
        <v>52</v>
      </c>
      <c r="C173" s="22" t="s">
        <v>4</v>
      </c>
      <c r="D173" s="22" t="s">
        <v>35</v>
      </c>
      <c r="E173" s="23">
        <v>171795</v>
      </c>
      <c r="F173" s="20">
        <v>50</v>
      </c>
      <c r="G173" s="31">
        <v>1498</v>
      </c>
      <c r="H173" s="16">
        <v>-5510.9400000000087</v>
      </c>
      <c r="I173" s="20">
        <v>29.96</v>
      </c>
      <c r="J173" s="18"/>
      <c r="K173" s="18"/>
      <c r="L173" s="18"/>
      <c r="M173" s="32"/>
    </row>
    <row r="174" spans="1:13" s="22" customFormat="1" ht="24" customHeight="1" thickBot="1">
      <c r="A174" s="21">
        <v>46037</v>
      </c>
      <c r="B174" s="22" t="s">
        <v>42</v>
      </c>
      <c r="C174" s="22" t="s">
        <v>32</v>
      </c>
      <c r="D174" s="22" t="s">
        <v>34</v>
      </c>
      <c r="E174" s="23">
        <v>272674</v>
      </c>
      <c r="F174" s="20">
        <v>50</v>
      </c>
      <c r="G174" s="31">
        <v>1498</v>
      </c>
      <c r="H174" s="16">
        <v>-7008.9400000000087</v>
      </c>
      <c r="I174" s="20">
        <v>29.96</v>
      </c>
      <c r="J174" s="18"/>
      <c r="K174" s="18"/>
      <c r="L174" s="18"/>
      <c r="M174" s="32"/>
    </row>
    <row r="175" spans="1:13" s="22" customFormat="1" ht="24" customHeight="1" thickBot="1">
      <c r="A175" s="21">
        <v>46038</v>
      </c>
      <c r="B175" s="22" t="s">
        <v>42</v>
      </c>
      <c r="C175" s="22" t="s">
        <v>32</v>
      </c>
      <c r="D175" s="22" t="s">
        <v>36</v>
      </c>
      <c r="E175" s="23">
        <v>272708</v>
      </c>
      <c r="F175" s="20">
        <v>50</v>
      </c>
      <c r="G175" s="31">
        <v>1498</v>
      </c>
      <c r="H175" s="16">
        <v>-8506.9400000000096</v>
      </c>
      <c r="I175" s="20">
        <v>29.96</v>
      </c>
      <c r="J175" s="18"/>
      <c r="K175" s="18"/>
      <c r="L175" s="18"/>
      <c r="M175" s="32"/>
    </row>
    <row r="176" spans="1:13" s="22" customFormat="1" ht="24" customHeight="1" thickBot="1">
      <c r="A176" s="21">
        <v>46038</v>
      </c>
      <c r="B176" s="22" t="s">
        <v>49</v>
      </c>
      <c r="C176" s="22" t="s">
        <v>6</v>
      </c>
      <c r="D176" s="22" t="s">
        <v>35</v>
      </c>
      <c r="E176" s="30">
        <v>169083</v>
      </c>
      <c r="F176" s="20">
        <v>50</v>
      </c>
      <c r="G176" s="31">
        <v>1498</v>
      </c>
      <c r="H176" s="16">
        <v>-10004.94000000001</v>
      </c>
      <c r="I176" s="20">
        <v>29.96</v>
      </c>
      <c r="J176" s="18"/>
      <c r="K176" s="18"/>
      <c r="L176" s="18"/>
      <c r="M176" s="32"/>
    </row>
    <row r="177" spans="1:13" s="22" customFormat="1" ht="24" customHeight="1" thickBot="1">
      <c r="A177" s="21">
        <v>46038</v>
      </c>
      <c r="B177" s="22" t="s">
        <v>46</v>
      </c>
      <c r="C177" s="25" t="s">
        <v>47</v>
      </c>
      <c r="D177" s="22" t="s">
        <v>36</v>
      </c>
      <c r="E177" s="23">
        <v>236279</v>
      </c>
      <c r="F177" s="20">
        <v>46.001335113484643</v>
      </c>
      <c r="G177" s="31">
        <v>1378.2</v>
      </c>
      <c r="H177" s="16">
        <v>-11383.14000000001</v>
      </c>
      <c r="I177" s="20">
        <v>29.96</v>
      </c>
      <c r="J177" s="18"/>
      <c r="K177" s="18"/>
      <c r="L177" s="18"/>
      <c r="M177" s="32"/>
    </row>
    <row r="178" spans="1:13" s="22" customFormat="1" ht="24" customHeight="1" thickBot="1">
      <c r="A178" s="21">
        <v>46037</v>
      </c>
      <c r="B178" s="22" t="s">
        <v>45</v>
      </c>
      <c r="C178" s="22" t="s">
        <v>7</v>
      </c>
      <c r="D178" s="22" t="s">
        <v>35</v>
      </c>
      <c r="E178" s="23">
        <v>173542</v>
      </c>
      <c r="F178" s="20">
        <v>143.52469959946595</v>
      </c>
      <c r="G178" s="31">
        <v>4300</v>
      </c>
      <c r="H178" s="16">
        <v>-15683.14000000001</v>
      </c>
      <c r="I178" s="20">
        <v>29.96</v>
      </c>
      <c r="J178" s="18"/>
      <c r="K178" s="18"/>
      <c r="L178" s="18"/>
      <c r="M178" s="32"/>
    </row>
    <row r="179" spans="1:13" s="22" customFormat="1" ht="24" customHeight="1" thickBot="1">
      <c r="A179" s="21">
        <v>46037</v>
      </c>
      <c r="B179" s="22" t="s">
        <v>60</v>
      </c>
      <c r="C179" s="22" t="s">
        <v>2</v>
      </c>
      <c r="D179" s="22" t="s">
        <v>35</v>
      </c>
      <c r="E179" s="23">
        <v>146852</v>
      </c>
      <c r="F179" s="20">
        <v>90</v>
      </c>
      <c r="G179" s="31">
        <v>2696.4</v>
      </c>
      <c r="H179" s="16">
        <v>-18379.540000000012</v>
      </c>
      <c r="I179" s="20">
        <v>29.96</v>
      </c>
      <c r="J179" s="18"/>
      <c r="K179" s="18"/>
      <c r="L179" s="18"/>
      <c r="M179" s="32"/>
    </row>
    <row r="180" spans="1:13" s="22" customFormat="1" ht="24" customHeight="1" thickBot="1">
      <c r="A180" s="21">
        <v>46038</v>
      </c>
      <c r="B180" s="22" t="s">
        <v>43</v>
      </c>
      <c r="C180" s="22" t="s">
        <v>1</v>
      </c>
      <c r="D180" s="22" t="s">
        <v>36</v>
      </c>
      <c r="E180" s="23">
        <v>169686</v>
      </c>
      <c r="F180" s="20">
        <v>86.001335113484643</v>
      </c>
      <c r="G180" s="31">
        <v>2576.6</v>
      </c>
      <c r="H180" s="16">
        <v>-20956.14000000001</v>
      </c>
      <c r="I180" s="20">
        <v>29.96</v>
      </c>
      <c r="J180" s="18"/>
      <c r="K180" s="18"/>
      <c r="L180" s="18"/>
      <c r="M180" s="32"/>
    </row>
    <row r="181" spans="1:13" s="22" customFormat="1" ht="24" hidden="1" customHeight="1" thickBot="1">
      <c r="A181" s="21">
        <v>46038</v>
      </c>
      <c r="B181" s="26" t="s">
        <v>20</v>
      </c>
      <c r="C181" s="26" t="s">
        <v>20</v>
      </c>
      <c r="D181" s="26" t="s">
        <v>20</v>
      </c>
      <c r="E181" s="27" t="s">
        <v>65</v>
      </c>
      <c r="F181" s="20" t="s">
        <v>20</v>
      </c>
      <c r="G181" s="31">
        <v>-30000</v>
      </c>
      <c r="H181" s="16">
        <v>9043.8599999999897</v>
      </c>
      <c r="I181" s="20">
        <v>29.96</v>
      </c>
      <c r="J181" s="28" t="s">
        <v>78</v>
      </c>
      <c r="K181" s="18"/>
      <c r="L181" s="18"/>
      <c r="M181" s="32"/>
    </row>
    <row r="182" spans="1:13" s="22" customFormat="1" ht="24" hidden="1" customHeight="1" thickBot="1">
      <c r="A182" s="21">
        <v>46038</v>
      </c>
      <c r="B182" s="26" t="s">
        <v>20</v>
      </c>
      <c r="C182" s="26" t="s">
        <v>20</v>
      </c>
      <c r="D182" s="26" t="s">
        <v>20</v>
      </c>
      <c r="E182" s="27" t="s">
        <v>65</v>
      </c>
      <c r="F182" s="20" t="s">
        <v>20</v>
      </c>
      <c r="G182" s="31">
        <v>-50000</v>
      </c>
      <c r="H182" s="16">
        <v>59043.859999999986</v>
      </c>
      <c r="I182" s="20">
        <v>29.96</v>
      </c>
      <c r="J182" s="18"/>
      <c r="K182" s="18"/>
      <c r="L182" s="18"/>
      <c r="M182" s="32"/>
    </row>
    <row r="183" spans="1:13" s="22" customFormat="1" ht="24" customHeight="1" thickBot="1">
      <c r="A183" s="21">
        <v>46037</v>
      </c>
      <c r="B183" s="22" t="s">
        <v>61</v>
      </c>
      <c r="C183" s="22" t="s">
        <v>62</v>
      </c>
      <c r="D183" s="22" t="s">
        <v>36</v>
      </c>
      <c r="E183" s="23">
        <v>822449</v>
      </c>
      <c r="F183" s="20">
        <v>103.99866488651536</v>
      </c>
      <c r="G183" s="31">
        <v>3115.8</v>
      </c>
      <c r="H183" s="16">
        <v>55928.059999999983</v>
      </c>
      <c r="I183" s="20">
        <v>29.96</v>
      </c>
      <c r="J183" s="18"/>
      <c r="K183" s="18"/>
      <c r="L183" s="18"/>
      <c r="M183" s="32"/>
    </row>
    <row r="184" spans="1:13" s="22" customFormat="1" ht="24" customHeight="1" thickBot="1">
      <c r="A184" s="21">
        <v>46038</v>
      </c>
      <c r="B184" s="22" t="s">
        <v>51</v>
      </c>
      <c r="C184" s="22" t="s">
        <v>3</v>
      </c>
      <c r="D184" s="22" t="s">
        <v>34</v>
      </c>
      <c r="E184" s="30">
        <v>303366</v>
      </c>
      <c r="F184" s="20">
        <v>50</v>
      </c>
      <c r="G184" s="31">
        <v>1498</v>
      </c>
      <c r="H184" s="16">
        <v>54430.059999999983</v>
      </c>
      <c r="I184" s="20">
        <v>29.96</v>
      </c>
      <c r="J184" s="18"/>
      <c r="K184" s="18"/>
      <c r="L184" s="18"/>
      <c r="M184" s="32"/>
    </row>
    <row r="185" spans="1:13" s="22" customFormat="1" ht="24" customHeight="1" thickBot="1">
      <c r="A185" s="21">
        <v>46038</v>
      </c>
      <c r="B185" s="22" t="s">
        <v>55</v>
      </c>
      <c r="C185" s="22" t="s">
        <v>15</v>
      </c>
      <c r="D185" s="22" t="s">
        <v>34</v>
      </c>
      <c r="E185" s="30">
        <v>279069</v>
      </c>
      <c r="F185" s="20">
        <v>50</v>
      </c>
      <c r="G185" s="31">
        <v>1498</v>
      </c>
      <c r="H185" s="16">
        <v>52932.059999999983</v>
      </c>
      <c r="I185" s="20">
        <v>29.96</v>
      </c>
      <c r="J185" s="18"/>
      <c r="K185" s="18"/>
      <c r="L185" s="18"/>
      <c r="M185" s="32"/>
    </row>
    <row r="186" spans="1:13" s="22" customFormat="1" ht="24" customHeight="1" thickBot="1">
      <c r="A186" s="21">
        <v>46038</v>
      </c>
      <c r="B186" s="22" t="s">
        <v>53</v>
      </c>
      <c r="C186" s="22" t="s">
        <v>10</v>
      </c>
      <c r="D186" s="22" t="s">
        <v>34</v>
      </c>
      <c r="E186" s="30">
        <v>293146</v>
      </c>
      <c r="F186" s="20">
        <v>50</v>
      </c>
      <c r="G186" s="31">
        <v>1498</v>
      </c>
      <c r="H186" s="16">
        <v>51434.059999999983</v>
      </c>
      <c r="I186" s="20">
        <v>29.96</v>
      </c>
      <c r="J186" s="18"/>
      <c r="K186" s="18"/>
      <c r="L186" s="18"/>
      <c r="M186" s="32"/>
    </row>
    <row r="187" spans="1:13" s="22" customFormat="1" ht="24" customHeight="1" thickBot="1">
      <c r="A187" s="21">
        <v>46038</v>
      </c>
      <c r="B187" s="22" t="s">
        <v>58</v>
      </c>
      <c r="C187" s="22" t="s">
        <v>14</v>
      </c>
      <c r="D187" s="22" t="s">
        <v>34</v>
      </c>
      <c r="E187" s="30">
        <v>197923</v>
      </c>
      <c r="F187" s="20">
        <v>50</v>
      </c>
      <c r="G187" s="31">
        <v>1498</v>
      </c>
      <c r="H187" s="16">
        <v>49936.059999999983</v>
      </c>
      <c r="I187" s="20">
        <v>29.96</v>
      </c>
      <c r="J187" s="18"/>
      <c r="K187" s="18"/>
      <c r="L187" s="18"/>
      <c r="M187" s="32"/>
    </row>
    <row r="188" spans="1:13" s="22" customFormat="1" ht="24" customHeight="1" thickBot="1">
      <c r="A188" s="21">
        <v>46038</v>
      </c>
      <c r="B188" s="22" t="s">
        <v>56</v>
      </c>
      <c r="C188" s="22" t="s">
        <v>8</v>
      </c>
      <c r="D188" s="22" t="s">
        <v>34</v>
      </c>
      <c r="E188" s="30">
        <v>293671</v>
      </c>
      <c r="F188" s="20">
        <v>50</v>
      </c>
      <c r="G188" s="31">
        <v>1498</v>
      </c>
      <c r="H188" s="16">
        <v>48438.059999999983</v>
      </c>
      <c r="I188" s="20">
        <v>29.96</v>
      </c>
      <c r="J188" s="18"/>
      <c r="K188" s="18"/>
      <c r="L188" s="18"/>
      <c r="M188" s="32"/>
    </row>
    <row r="189" spans="1:13" s="22" customFormat="1" ht="24" customHeight="1" thickBot="1">
      <c r="A189" s="21">
        <v>46038</v>
      </c>
      <c r="B189" s="22" t="s">
        <v>60</v>
      </c>
      <c r="C189" s="22" t="s">
        <v>2</v>
      </c>
      <c r="D189" s="22" t="s">
        <v>35</v>
      </c>
      <c r="E189" s="30">
        <v>147033</v>
      </c>
      <c r="F189" s="20">
        <v>50</v>
      </c>
      <c r="G189" s="31">
        <v>1498</v>
      </c>
      <c r="H189" s="16">
        <v>46940.059999999983</v>
      </c>
      <c r="I189" s="20">
        <v>29.96</v>
      </c>
      <c r="J189" s="18"/>
      <c r="K189" s="18"/>
      <c r="L189" s="18"/>
      <c r="M189" s="32"/>
    </row>
    <row r="190" spans="1:13" s="22" customFormat="1" ht="24" customHeight="1" thickBot="1">
      <c r="A190" s="21">
        <v>46038</v>
      </c>
      <c r="B190" s="22" t="s">
        <v>57</v>
      </c>
      <c r="C190" s="22" t="s">
        <v>12</v>
      </c>
      <c r="D190" s="22" t="s">
        <v>36</v>
      </c>
      <c r="E190" s="23">
        <v>168908</v>
      </c>
      <c r="F190" s="20">
        <v>50</v>
      </c>
      <c r="G190" s="31">
        <v>1498</v>
      </c>
      <c r="H190" s="16">
        <v>45442.059999999983</v>
      </c>
      <c r="I190" s="20">
        <v>29.96</v>
      </c>
      <c r="J190" s="18"/>
      <c r="K190" s="18"/>
      <c r="L190" s="18"/>
      <c r="M190" s="32"/>
    </row>
    <row r="191" spans="1:13" s="22" customFormat="1" ht="24" customHeight="1" thickBot="1">
      <c r="A191" s="21">
        <v>46038</v>
      </c>
      <c r="B191" s="22" t="s">
        <v>54</v>
      </c>
      <c r="C191" s="22" t="s">
        <v>16</v>
      </c>
      <c r="D191" s="22" t="s">
        <v>34</v>
      </c>
      <c r="E191" s="30">
        <v>233523</v>
      </c>
      <c r="F191" s="20">
        <v>50</v>
      </c>
      <c r="G191" s="31">
        <v>1498</v>
      </c>
      <c r="H191" s="16">
        <v>43944.059999999983</v>
      </c>
      <c r="I191" s="20">
        <v>29.96</v>
      </c>
      <c r="J191" s="18"/>
      <c r="K191" s="18"/>
      <c r="L191" s="18"/>
      <c r="M191" s="32"/>
    </row>
    <row r="192" spans="1:13" s="22" customFormat="1" ht="24" customHeight="1" thickBot="1">
      <c r="A192" s="21">
        <v>46038</v>
      </c>
      <c r="B192" s="22" t="s">
        <v>53</v>
      </c>
      <c r="C192" s="22" t="s">
        <v>10</v>
      </c>
      <c r="D192" s="22" t="s">
        <v>34</v>
      </c>
      <c r="E192" s="23">
        <v>293328</v>
      </c>
      <c r="F192" s="20">
        <v>90</v>
      </c>
      <c r="G192" s="31">
        <v>2696.4</v>
      </c>
      <c r="H192" s="16">
        <v>41247.659999999982</v>
      </c>
      <c r="I192" s="20">
        <v>29.96</v>
      </c>
      <c r="J192" s="18"/>
      <c r="K192" s="18"/>
      <c r="L192" s="18"/>
      <c r="M192" s="32"/>
    </row>
    <row r="193" spans="1:13" s="22" customFormat="1" ht="24" customHeight="1" thickBot="1">
      <c r="A193" s="21">
        <v>46038</v>
      </c>
      <c r="B193" s="22" t="s">
        <v>43</v>
      </c>
      <c r="C193" s="22" t="s">
        <v>1</v>
      </c>
      <c r="D193" s="22" t="s">
        <v>34</v>
      </c>
      <c r="E193" s="23">
        <v>169975</v>
      </c>
      <c r="F193" s="20">
        <v>83.000667556742314</v>
      </c>
      <c r="G193" s="31">
        <v>2486.6999999999998</v>
      </c>
      <c r="H193" s="16">
        <v>38760.959999999985</v>
      </c>
      <c r="I193" s="20">
        <v>29.96</v>
      </c>
      <c r="J193" s="18"/>
      <c r="K193" s="18"/>
      <c r="L193" s="18"/>
      <c r="M193" s="32"/>
    </row>
    <row r="194" spans="1:13" s="22" customFormat="1" ht="24" customHeight="1" thickBot="1">
      <c r="A194" s="21">
        <v>46039</v>
      </c>
      <c r="B194" s="22" t="s">
        <v>48</v>
      </c>
      <c r="C194" s="22" t="s">
        <v>17</v>
      </c>
      <c r="D194" s="22" t="s">
        <v>36</v>
      </c>
      <c r="E194" s="23">
        <v>158103</v>
      </c>
      <c r="F194" s="20">
        <v>50</v>
      </c>
      <c r="G194" s="31">
        <v>1498</v>
      </c>
      <c r="H194" s="16">
        <v>37262.959999999985</v>
      </c>
      <c r="I194" s="20">
        <v>29.96</v>
      </c>
      <c r="J194" s="18"/>
      <c r="K194" s="18"/>
      <c r="L194" s="18"/>
      <c r="M194" s="32"/>
    </row>
    <row r="195" spans="1:13" s="22" customFormat="1" ht="24" customHeight="1" thickBot="1">
      <c r="A195" s="21">
        <v>46039</v>
      </c>
      <c r="B195" s="22" t="s">
        <v>59</v>
      </c>
      <c r="C195" s="22" t="s">
        <v>11</v>
      </c>
      <c r="D195" s="22" t="s">
        <v>36</v>
      </c>
      <c r="E195" s="30">
        <v>234170</v>
      </c>
      <c r="F195" s="20">
        <v>50</v>
      </c>
      <c r="G195" s="31">
        <v>1498</v>
      </c>
      <c r="H195" s="16">
        <v>35764.959999999985</v>
      </c>
      <c r="I195" s="20">
        <v>29.96</v>
      </c>
      <c r="J195" s="18"/>
      <c r="K195" s="18"/>
      <c r="L195" s="18"/>
      <c r="M195" s="32"/>
    </row>
    <row r="196" spans="1:13" s="22" customFormat="1" ht="24" customHeight="1" thickBot="1">
      <c r="A196" s="21">
        <v>46039</v>
      </c>
      <c r="B196" s="22" t="s">
        <v>49</v>
      </c>
      <c r="C196" s="22" t="s">
        <v>6</v>
      </c>
      <c r="D196" s="22" t="s">
        <v>35</v>
      </c>
      <c r="E196" s="23">
        <v>169253</v>
      </c>
      <c r="F196" s="20">
        <v>56.001335113484643</v>
      </c>
      <c r="G196" s="31">
        <v>1677.8</v>
      </c>
      <c r="H196" s="16">
        <v>34087.159999999982</v>
      </c>
      <c r="I196" s="20">
        <v>29.96</v>
      </c>
      <c r="J196" s="18"/>
      <c r="K196" s="18"/>
      <c r="L196" s="18"/>
      <c r="M196" s="32"/>
    </row>
    <row r="197" spans="1:13" s="22" customFormat="1" ht="24" customHeight="1" thickBot="1">
      <c r="A197" s="21">
        <v>46039</v>
      </c>
      <c r="B197" s="22" t="s">
        <v>42</v>
      </c>
      <c r="C197" s="22" t="s">
        <v>32</v>
      </c>
      <c r="D197" s="22" t="s">
        <v>34</v>
      </c>
      <c r="E197" s="23">
        <v>272815</v>
      </c>
      <c r="F197" s="20">
        <v>50</v>
      </c>
      <c r="G197" s="31">
        <v>1498</v>
      </c>
      <c r="H197" s="16">
        <v>32589.159999999982</v>
      </c>
      <c r="I197" s="20">
        <v>29.96</v>
      </c>
      <c r="J197" s="18"/>
      <c r="K197" s="18"/>
      <c r="L197" s="18"/>
      <c r="M197" s="32"/>
    </row>
    <row r="198" spans="1:13" s="22" customFormat="1" ht="24" customHeight="1" thickBot="1">
      <c r="A198" s="21">
        <v>46039</v>
      </c>
      <c r="B198" s="22" t="s">
        <v>51</v>
      </c>
      <c r="C198" s="22" t="s">
        <v>3</v>
      </c>
      <c r="D198" s="22" t="s">
        <v>36</v>
      </c>
      <c r="E198" s="23">
        <v>303540</v>
      </c>
      <c r="F198" s="20">
        <v>50</v>
      </c>
      <c r="G198" s="31">
        <v>1498</v>
      </c>
      <c r="H198" s="16">
        <v>31091.159999999982</v>
      </c>
      <c r="I198" s="20">
        <v>29.96</v>
      </c>
      <c r="J198" s="18"/>
      <c r="K198" s="18"/>
      <c r="L198" s="18"/>
      <c r="M198" s="32"/>
    </row>
    <row r="199" spans="1:13" s="22" customFormat="1" ht="24" customHeight="1" thickBot="1">
      <c r="A199" s="21">
        <v>46039</v>
      </c>
      <c r="B199" s="22" t="s">
        <v>52</v>
      </c>
      <c r="C199" s="22" t="s">
        <v>4</v>
      </c>
      <c r="D199" s="22" t="s">
        <v>34</v>
      </c>
      <c r="E199" s="30">
        <v>171959</v>
      </c>
      <c r="F199" s="20">
        <v>59.999999999999993</v>
      </c>
      <c r="G199" s="31">
        <v>1797.6</v>
      </c>
      <c r="H199" s="16">
        <v>29293.559999999983</v>
      </c>
      <c r="I199" s="20">
        <v>29.96</v>
      </c>
      <c r="J199" s="18"/>
      <c r="K199" s="18"/>
      <c r="L199" s="18"/>
      <c r="M199" s="32"/>
    </row>
    <row r="200" spans="1:13" s="22" customFormat="1" ht="24" customHeight="1" thickBot="1">
      <c r="A200" s="21">
        <v>46039</v>
      </c>
      <c r="B200" s="22" t="s">
        <v>55</v>
      </c>
      <c r="C200" s="22" t="s">
        <v>15</v>
      </c>
      <c r="D200" s="22" t="s">
        <v>34</v>
      </c>
      <c r="E200" s="23">
        <v>279158</v>
      </c>
      <c r="F200" s="20">
        <v>50</v>
      </c>
      <c r="G200" s="31">
        <v>1498</v>
      </c>
      <c r="H200" s="16">
        <v>27795.559999999983</v>
      </c>
      <c r="I200" s="20">
        <v>29.96</v>
      </c>
      <c r="J200" s="18"/>
      <c r="K200" s="18"/>
      <c r="L200" s="18"/>
      <c r="M200" s="32"/>
    </row>
    <row r="201" spans="1:13" s="22" customFormat="1" ht="24" customHeight="1" thickBot="1">
      <c r="A201" s="21">
        <v>46039</v>
      </c>
      <c r="B201" s="22" t="s">
        <v>58</v>
      </c>
      <c r="C201" s="22" t="s">
        <v>14</v>
      </c>
      <c r="D201" s="22" t="s">
        <v>36</v>
      </c>
      <c r="E201" s="23">
        <v>198054</v>
      </c>
      <c r="F201" s="20">
        <v>50</v>
      </c>
      <c r="G201" s="31">
        <v>1498</v>
      </c>
      <c r="H201" s="16">
        <v>26297.559999999983</v>
      </c>
      <c r="I201" s="20">
        <v>29.96</v>
      </c>
      <c r="J201" s="18"/>
      <c r="K201" s="18"/>
      <c r="L201" s="18"/>
      <c r="M201" s="32"/>
    </row>
    <row r="202" spans="1:13" s="22" customFormat="1" ht="24" customHeight="1" thickBot="1">
      <c r="A202" s="21">
        <v>46039</v>
      </c>
      <c r="B202" s="22" t="s">
        <v>54</v>
      </c>
      <c r="C202" s="22" t="s">
        <v>16</v>
      </c>
      <c r="D202" s="22" t="s">
        <v>35</v>
      </c>
      <c r="E202" s="23">
        <v>233708</v>
      </c>
      <c r="F202" s="20">
        <v>50</v>
      </c>
      <c r="G202" s="31">
        <v>1498</v>
      </c>
      <c r="H202" s="16">
        <v>24799.559999999983</v>
      </c>
      <c r="I202" s="20">
        <v>29.96</v>
      </c>
      <c r="J202" s="18"/>
      <c r="K202" s="18"/>
      <c r="L202" s="18"/>
      <c r="M202" s="32"/>
    </row>
    <row r="203" spans="1:13" s="22" customFormat="1" ht="24" customHeight="1" thickBot="1">
      <c r="A203" s="21">
        <v>46039</v>
      </c>
      <c r="B203" s="22" t="s">
        <v>42</v>
      </c>
      <c r="C203" s="22" t="s">
        <v>32</v>
      </c>
      <c r="D203" s="22" t="s">
        <v>36</v>
      </c>
      <c r="E203" s="23">
        <v>272983</v>
      </c>
      <c r="F203" s="20">
        <v>50</v>
      </c>
      <c r="G203" s="31">
        <v>1498</v>
      </c>
      <c r="H203" s="16">
        <v>23301.559999999983</v>
      </c>
      <c r="I203" s="20">
        <v>29.96</v>
      </c>
      <c r="J203" s="18"/>
      <c r="K203" s="18"/>
      <c r="L203" s="18"/>
      <c r="M203" s="32"/>
    </row>
    <row r="204" spans="1:13" s="22" customFormat="1" ht="24" customHeight="1" thickBot="1">
      <c r="A204" s="21">
        <v>46039</v>
      </c>
      <c r="B204" s="22" t="s">
        <v>59</v>
      </c>
      <c r="C204" s="22" t="s">
        <v>11</v>
      </c>
      <c r="D204" s="22" t="s">
        <v>36</v>
      </c>
      <c r="E204" s="23">
        <v>234291</v>
      </c>
      <c r="F204" s="20">
        <v>50</v>
      </c>
      <c r="G204" s="31">
        <v>1498</v>
      </c>
      <c r="H204" s="16">
        <v>21803.559999999983</v>
      </c>
      <c r="I204" s="20">
        <v>29.96</v>
      </c>
      <c r="J204" s="18"/>
      <c r="K204" s="18"/>
      <c r="L204" s="18"/>
      <c r="M204" s="32"/>
    </row>
    <row r="205" spans="1:13" s="22" customFormat="1" ht="24" customHeight="1" thickBot="1">
      <c r="A205" s="21">
        <v>46040</v>
      </c>
      <c r="B205" s="22" t="s">
        <v>48</v>
      </c>
      <c r="C205" s="22" t="s">
        <v>17</v>
      </c>
      <c r="D205" s="22" t="s">
        <v>34</v>
      </c>
      <c r="E205" s="23">
        <v>158216</v>
      </c>
      <c r="F205" s="20">
        <v>50</v>
      </c>
      <c r="G205" s="31">
        <v>1498</v>
      </c>
      <c r="H205" s="16">
        <v>20305.559999999983</v>
      </c>
      <c r="I205" s="20">
        <v>29.96</v>
      </c>
      <c r="J205" s="18"/>
      <c r="K205" s="18"/>
      <c r="L205" s="18"/>
      <c r="M205" s="32"/>
    </row>
    <row r="206" spans="1:13" s="22" customFormat="1" ht="24" customHeight="1" thickBot="1">
      <c r="A206" s="21">
        <v>46040</v>
      </c>
      <c r="B206" s="22" t="s">
        <v>52</v>
      </c>
      <c r="C206" s="22" t="s">
        <v>4</v>
      </c>
      <c r="D206" s="22" t="s">
        <v>34</v>
      </c>
      <c r="E206" s="23">
        <v>172189</v>
      </c>
      <c r="F206" s="20">
        <v>50</v>
      </c>
      <c r="G206" s="31">
        <v>1498</v>
      </c>
      <c r="H206" s="16">
        <v>18807.559999999983</v>
      </c>
      <c r="I206" s="20">
        <v>29.96</v>
      </c>
      <c r="J206" s="18"/>
      <c r="K206" s="18"/>
      <c r="L206" s="18"/>
      <c r="M206" s="32"/>
    </row>
    <row r="207" spans="1:13" s="22" customFormat="1" ht="24" customHeight="1" thickBot="1">
      <c r="A207" s="21">
        <v>46040</v>
      </c>
      <c r="B207" s="22" t="s">
        <v>54</v>
      </c>
      <c r="C207" s="22" t="s">
        <v>16</v>
      </c>
      <c r="D207" s="22" t="s">
        <v>36</v>
      </c>
      <c r="E207" s="23">
        <v>233866</v>
      </c>
      <c r="F207" s="20">
        <v>50</v>
      </c>
      <c r="G207" s="31">
        <v>1498</v>
      </c>
      <c r="H207" s="16">
        <v>17309.559999999983</v>
      </c>
      <c r="I207" s="20">
        <v>29.96</v>
      </c>
      <c r="J207" s="18"/>
      <c r="K207" s="18"/>
      <c r="L207" s="18"/>
      <c r="M207" s="32"/>
    </row>
    <row r="208" spans="1:13" s="22" customFormat="1" ht="24" customHeight="1" thickBot="1">
      <c r="A208" s="21">
        <v>46041</v>
      </c>
      <c r="B208" s="22" t="s">
        <v>43</v>
      </c>
      <c r="C208" s="22" t="s">
        <v>1</v>
      </c>
      <c r="D208" s="22" t="s">
        <v>36</v>
      </c>
      <c r="E208" s="23">
        <v>170300</v>
      </c>
      <c r="F208" s="20">
        <v>90</v>
      </c>
      <c r="G208" s="31">
        <v>2696.4</v>
      </c>
      <c r="H208" s="16">
        <v>14613.159999999983</v>
      </c>
      <c r="I208" s="20">
        <v>29.96</v>
      </c>
      <c r="J208" s="18"/>
      <c r="K208" s="18"/>
      <c r="L208" s="18"/>
      <c r="M208" s="32"/>
    </row>
    <row r="209" spans="1:13" s="22" customFormat="1" ht="24" customHeight="1" thickBot="1">
      <c r="A209" s="21">
        <v>46041</v>
      </c>
      <c r="B209" s="22" t="s">
        <v>55</v>
      </c>
      <c r="C209" s="22" t="s">
        <v>15</v>
      </c>
      <c r="D209" s="22" t="s">
        <v>36</v>
      </c>
      <c r="E209" s="23">
        <v>279347</v>
      </c>
      <c r="F209" s="20">
        <v>50</v>
      </c>
      <c r="G209" s="31">
        <v>1498</v>
      </c>
      <c r="H209" s="16">
        <v>13115.159999999983</v>
      </c>
      <c r="I209" s="20">
        <v>29.96</v>
      </c>
      <c r="J209" s="18"/>
      <c r="K209" s="18"/>
      <c r="L209" s="18"/>
      <c r="M209" s="32"/>
    </row>
    <row r="210" spans="1:13" s="22" customFormat="1" ht="24" customHeight="1" thickBot="1">
      <c r="A210" s="21">
        <v>46041</v>
      </c>
      <c r="B210" s="22" t="s">
        <v>42</v>
      </c>
      <c r="C210" s="22" t="s">
        <v>32</v>
      </c>
      <c r="D210" s="22" t="s">
        <v>34</v>
      </c>
      <c r="E210" s="23">
        <v>273068</v>
      </c>
      <c r="F210" s="20">
        <v>50</v>
      </c>
      <c r="G210" s="31">
        <v>1498</v>
      </c>
      <c r="H210" s="16">
        <v>11617.159999999983</v>
      </c>
      <c r="I210" s="20">
        <v>29.96</v>
      </c>
      <c r="J210" s="18"/>
      <c r="K210" s="18"/>
      <c r="L210" s="18"/>
      <c r="M210" s="32"/>
    </row>
    <row r="211" spans="1:13" s="22" customFormat="1" ht="24" customHeight="1" thickBot="1">
      <c r="A211" s="21">
        <v>46041</v>
      </c>
      <c r="B211" s="22" t="s">
        <v>45</v>
      </c>
      <c r="C211" s="22" t="s">
        <v>7</v>
      </c>
      <c r="D211" s="22" t="s">
        <v>36</v>
      </c>
      <c r="E211" s="23">
        <v>174049</v>
      </c>
      <c r="F211" s="20">
        <v>164.99999999999997</v>
      </c>
      <c r="G211" s="31">
        <v>4943.3999999999996</v>
      </c>
      <c r="H211" s="16">
        <v>6673.7599999999838</v>
      </c>
      <c r="I211" s="20">
        <v>29.96</v>
      </c>
      <c r="J211" s="18"/>
      <c r="K211" s="18"/>
      <c r="L211" s="18"/>
      <c r="M211" s="32"/>
    </row>
    <row r="212" spans="1:13" s="22" customFormat="1" ht="24" customHeight="1" thickBot="1">
      <c r="A212" s="21">
        <v>46041</v>
      </c>
      <c r="B212" s="22" t="s">
        <v>57</v>
      </c>
      <c r="C212" s="22" t="s">
        <v>12</v>
      </c>
      <c r="D212" s="22" t="s">
        <v>36</v>
      </c>
      <c r="E212" s="23">
        <v>169097</v>
      </c>
      <c r="F212" s="20">
        <v>50</v>
      </c>
      <c r="G212" s="31">
        <v>1498</v>
      </c>
      <c r="H212" s="16">
        <v>5175.7599999999838</v>
      </c>
      <c r="I212" s="20">
        <v>29.96</v>
      </c>
      <c r="J212" s="18"/>
      <c r="K212" s="18"/>
      <c r="L212" s="18"/>
      <c r="M212" s="32"/>
    </row>
    <row r="213" spans="1:13" s="22" customFormat="1" ht="24" customHeight="1" thickBot="1">
      <c r="A213" s="21">
        <v>46041</v>
      </c>
      <c r="B213" s="22" t="s">
        <v>53</v>
      </c>
      <c r="C213" s="22" t="s">
        <v>10</v>
      </c>
      <c r="D213" s="22" t="s">
        <v>34</v>
      </c>
      <c r="E213" s="30">
        <v>293646</v>
      </c>
      <c r="F213" s="20">
        <v>50</v>
      </c>
      <c r="G213" s="31">
        <v>1498</v>
      </c>
      <c r="H213" s="16">
        <v>3677.7599999999838</v>
      </c>
      <c r="I213" s="20">
        <v>29.96</v>
      </c>
      <c r="J213" s="18"/>
      <c r="K213" s="18"/>
      <c r="L213" s="18"/>
      <c r="M213" s="32"/>
    </row>
    <row r="214" spans="1:13" s="22" customFormat="1" ht="24" customHeight="1" thickBot="1">
      <c r="A214" s="21">
        <v>46041</v>
      </c>
      <c r="B214" s="22" t="s">
        <v>51</v>
      </c>
      <c r="C214" s="22" t="s">
        <v>3</v>
      </c>
      <c r="D214" s="22" t="s">
        <v>34</v>
      </c>
      <c r="E214" s="30">
        <v>303638</v>
      </c>
      <c r="F214" s="20">
        <v>50</v>
      </c>
      <c r="G214" s="31">
        <v>1498</v>
      </c>
      <c r="H214" s="16">
        <v>2179.7599999999838</v>
      </c>
      <c r="I214" s="20">
        <v>29.96</v>
      </c>
      <c r="J214" s="18"/>
      <c r="K214" s="18"/>
      <c r="L214" s="18"/>
      <c r="M214" s="32"/>
    </row>
    <row r="215" spans="1:13" s="22" customFormat="1" ht="24" customHeight="1" thickBot="1">
      <c r="A215" s="21">
        <v>46041</v>
      </c>
      <c r="B215" s="22" t="s">
        <v>39</v>
      </c>
      <c r="C215" s="22" t="s">
        <v>64</v>
      </c>
      <c r="D215" s="22" t="s">
        <v>34</v>
      </c>
      <c r="E215" s="23" t="s">
        <v>20</v>
      </c>
      <c r="F215" s="20">
        <v>16.688918558077436</v>
      </c>
      <c r="G215" s="31">
        <v>500</v>
      </c>
      <c r="H215" s="16">
        <v>1679.7599999999838</v>
      </c>
      <c r="I215" s="20">
        <v>29.96</v>
      </c>
      <c r="J215" s="18"/>
      <c r="K215" s="18"/>
      <c r="L215" s="18"/>
      <c r="M215" s="32"/>
    </row>
    <row r="216" spans="1:13" s="22" customFormat="1" ht="24" customHeight="1" thickBot="1">
      <c r="A216" s="21">
        <v>46041</v>
      </c>
      <c r="B216" s="22" t="s">
        <v>50</v>
      </c>
      <c r="C216" s="22" t="s">
        <v>5</v>
      </c>
      <c r="D216" s="22" t="s">
        <v>36</v>
      </c>
      <c r="E216" s="23">
        <v>194738</v>
      </c>
      <c r="F216" s="20">
        <v>50</v>
      </c>
      <c r="G216" s="31">
        <v>1498</v>
      </c>
      <c r="H216" s="16">
        <v>181.75999999998385</v>
      </c>
      <c r="I216" s="20">
        <v>29.96</v>
      </c>
      <c r="J216" s="18"/>
      <c r="K216" s="18"/>
      <c r="L216" s="18"/>
      <c r="M216" s="32"/>
    </row>
    <row r="217" spans="1:13" s="22" customFormat="1" ht="24" customHeight="1" thickBot="1">
      <c r="A217" s="21">
        <v>46041</v>
      </c>
      <c r="B217" s="22" t="s">
        <v>52</v>
      </c>
      <c r="C217" s="22" t="s">
        <v>4</v>
      </c>
      <c r="D217" s="22" t="s">
        <v>36</v>
      </c>
      <c r="E217" s="23">
        <v>172364</v>
      </c>
      <c r="F217" s="20">
        <v>50</v>
      </c>
      <c r="G217" s="31">
        <v>1498</v>
      </c>
      <c r="H217" s="16">
        <v>-1316.2400000000162</v>
      </c>
      <c r="I217" s="20">
        <v>29.96</v>
      </c>
      <c r="J217" s="18"/>
      <c r="K217" s="18"/>
      <c r="L217" s="18"/>
      <c r="M217" s="32"/>
    </row>
    <row r="218" spans="1:13" s="22" customFormat="1" ht="24" customHeight="1" thickBot="1">
      <c r="A218" s="21">
        <v>46041</v>
      </c>
      <c r="B218" s="22" t="s">
        <v>46</v>
      </c>
      <c r="C218" s="25" t="s">
        <v>47</v>
      </c>
      <c r="D218" s="22" t="s">
        <v>35</v>
      </c>
      <c r="E218" s="23">
        <v>236562</v>
      </c>
      <c r="F218" s="20">
        <v>114.81975967957275</v>
      </c>
      <c r="G218" s="31">
        <v>3440</v>
      </c>
      <c r="H218" s="16">
        <v>-4756.2400000000162</v>
      </c>
      <c r="I218" s="20">
        <v>29.96</v>
      </c>
      <c r="J218" s="18"/>
      <c r="K218" s="18"/>
      <c r="L218" s="18"/>
      <c r="M218" s="32"/>
    </row>
    <row r="219" spans="1:13" s="22" customFormat="1" ht="24" customHeight="1" thickBot="1">
      <c r="A219" s="21">
        <v>46041</v>
      </c>
      <c r="B219" s="22" t="s">
        <v>49</v>
      </c>
      <c r="C219" s="22" t="s">
        <v>6</v>
      </c>
      <c r="D219" s="22" t="s">
        <v>34</v>
      </c>
      <c r="E219" s="23">
        <v>169503</v>
      </c>
      <c r="F219" s="20">
        <v>50</v>
      </c>
      <c r="G219" s="31">
        <v>1498</v>
      </c>
      <c r="H219" s="16">
        <v>-6254.2400000000162</v>
      </c>
      <c r="I219" s="20">
        <v>29.96</v>
      </c>
      <c r="J219" s="18"/>
      <c r="K219" s="18"/>
      <c r="L219" s="18"/>
      <c r="M219" s="32"/>
    </row>
    <row r="220" spans="1:13" s="22" customFormat="1" ht="24" customHeight="1" thickBot="1">
      <c r="A220" s="21">
        <v>46041</v>
      </c>
      <c r="B220" s="22" t="s">
        <v>41</v>
      </c>
      <c r="C220" s="22" t="s">
        <v>9</v>
      </c>
      <c r="D220" s="22" t="s">
        <v>36</v>
      </c>
      <c r="E220" s="23">
        <v>920284</v>
      </c>
      <c r="F220" s="20">
        <v>59.999999999999993</v>
      </c>
      <c r="G220" s="31">
        <v>1797.6</v>
      </c>
      <c r="H220" s="16">
        <v>-8051.8400000000165</v>
      </c>
      <c r="I220" s="20">
        <v>29.96</v>
      </c>
      <c r="J220" s="18"/>
      <c r="K220" s="18"/>
      <c r="L220" s="18"/>
      <c r="M220" s="32"/>
    </row>
    <row r="221" spans="1:13" s="22" customFormat="1" ht="24" customHeight="1" thickBot="1">
      <c r="A221" s="21">
        <v>46041</v>
      </c>
      <c r="B221" s="22" t="s">
        <v>39</v>
      </c>
      <c r="C221" s="22" t="s">
        <v>40</v>
      </c>
      <c r="D221" s="22" t="s">
        <v>34</v>
      </c>
      <c r="E221" s="23" t="s">
        <v>20</v>
      </c>
      <c r="F221" s="20">
        <v>45.73097463284379</v>
      </c>
      <c r="G221" s="31">
        <v>1370.1</v>
      </c>
      <c r="H221" s="16">
        <v>-9421.9400000000169</v>
      </c>
      <c r="I221" s="20">
        <v>29.96</v>
      </c>
      <c r="J221" s="18"/>
      <c r="K221" s="18"/>
      <c r="L221" s="18"/>
      <c r="M221" s="32"/>
    </row>
    <row r="222" spans="1:13" s="22" customFormat="1" ht="24" customHeight="1" thickBot="1">
      <c r="A222" s="21">
        <v>46041</v>
      </c>
      <c r="B222" s="22" t="s">
        <v>60</v>
      </c>
      <c r="C222" s="22" t="s">
        <v>2</v>
      </c>
      <c r="D222" s="22" t="s">
        <v>35</v>
      </c>
      <c r="E222" s="23">
        <v>147343</v>
      </c>
      <c r="F222" s="20">
        <v>50</v>
      </c>
      <c r="G222" s="31">
        <v>1498</v>
      </c>
      <c r="H222" s="16">
        <v>-10919.940000000017</v>
      </c>
      <c r="I222" s="20">
        <v>29.96</v>
      </c>
      <c r="J222" s="18"/>
      <c r="K222" s="18"/>
      <c r="L222" s="18"/>
      <c r="M222" s="32"/>
    </row>
    <row r="223" spans="1:13" s="34" customFormat="1" ht="24" customHeight="1" thickBot="1">
      <c r="A223" s="33">
        <v>46042</v>
      </c>
      <c r="B223" s="34" t="s">
        <v>61</v>
      </c>
      <c r="C223" s="34" t="s">
        <v>19</v>
      </c>
      <c r="D223" s="34" t="s">
        <v>35</v>
      </c>
      <c r="E223" s="35">
        <v>822893</v>
      </c>
      <c r="F223" s="20">
        <v>146.86248331108143</v>
      </c>
      <c r="G223" s="36">
        <v>4400</v>
      </c>
      <c r="H223" s="16">
        <v>-15319.940000000017</v>
      </c>
      <c r="I223" s="37">
        <v>29.96</v>
      </c>
      <c r="J223" s="38"/>
      <c r="K223" s="38" t="s">
        <v>70</v>
      </c>
      <c r="L223" s="38"/>
      <c r="M223" s="39"/>
    </row>
    <row r="224" spans="1:13" s="22" customFormat="1" ht="24" customHeight="1" thickBot="1">
      <c r="A224" s="21">
        <v>46042</v>
      </c>
      <c r="B224" s="22" t="s">
        <v>53</v>
      </c>
      <c r="C224" s="22" t="s">
        <v>10</v>
      </c>
      <c r="D224" s="22" t="s">
        <v>34</v>
      </c>
      <c r="E224" s="23">
        <v>293750</v>
      </c>
      <c r="F224" s="20">
        <v>50</v>
      </c>
      <c r="G224" s="31">
        <v>1498</v>
      </c>
      <c r="H224" s="16">
        <v>-16817.940000000017</v>
      </c>
      <c r="I224" s="20">
        <v>29.96</v>
      </c>
      <c r="J224" s="18"/>
      <c r="K224" s="18"/>
      <c r="L224" s="18"/>
      <c r="M224" s="32"/>
    </row>
    <row r="225" spans="1:13" s="22" customFormat="1" ht="24" customHeight="1" thickBot="1">
      <c r="A225" s="21">
        <v>46042</v>
      </c>
      <c r="B225" s="22" t="s">
        <v>49</v>
      </c>
      <c r="C225" s="22" t="s">
        <v>6</v>
      </c>
      <c r="D225" s="22" t="s">
        <v>36</v>
      </c>
      <c r="E225" s="23">
        <v>169614</v>
      </c>
      <c r="F225" s="20">
        <v>50</v>
      </c>
      <c r="G225" s="31">
        <v>1498</v>
      </c>
      <c r="H225" s="16">
        <v>-18315.940000000017</v>
      </c>
      <c r="I225" s="20">
        <v>29.96</v>
      </c>
      <c r="J225" s="18"/>
      <c r="K225" s="18"/>
      <c r="L225" s="18"/>
      <c r="M225" s="32"/>
    </row>
    <row r="226" spans="1:13" s="22" customFormat="1" ht="24" customHeight="1" thickBot="1">
      <c r="A226" s="21">
        <v>46042</v>
      </c>
      <c r="B226" s="22" t="s">
        <v>42</v>
      </c>
      <c r="C226" s="22" t="s">
        <v>32</v>
      </c>
      <c r="D226" s="22" t="s">
        <v>36</v>
      </c>
      <c r="E226" s="23">
        <v>273235</v>
      </c>
      <c r="F226" s="20">
        <v>50</v>
      </c>
      <c r="G226" s="31">
        <v>1498</v>
      </c>
      <c r="H226" s="16">
        <v>-19813.940000000017</v>
      </c>
      <c r="I226" s="20">
        <v>29.96</v>
      </c>
      <c r="J226" s="18"/>
      <c r="K226" s="18"/>
      <c r="L226" s="18"/>
      <c r="M226" s="32"/>
    </row>
    <row r="227" spans="1:13" s="22" customFormat="1" ht="24" customHeight="1" thickBot="1">
      <c r="A227" s="21">
        <v>46042</v>
      </c>
      <c r="B227" s="22" t="s">
        <v>50</v>
      </c>
      <c r="C227" s="22" t="s">
        <v>5</v>
      </c>
      <c r="D227" s="22" t="s">
        <v>36</v>
      </c>
      <c r="E227" s="23">
        <v>194934</v>
      </c>
      <c r="F227" s="20">
        <v>50</v>
      </c>
      <c r="G227" s="31">
        <v>1498</v>
      </c>
      <c r="H227" s="16">
        <v>-21311.940000000017</v>
      </c>
      <c r="I227" s="20">
        <v>29.96</v>
      </c>
      <c r="J227" s="18"/>
      <c r="K227" s="18"/>
      <c r="L227" s="18"/>
      <c r="M227" s="32"/>
    </row>
    <row r="228" spans="1:13" s="22" customFormat="1" ht="24" customHeight="1" thickBot="1">
      <c r="A228" s="21">
        <v>46042</v>
      </c>
      <c r="B228" s="22" t="s">
        <v>43</v>
      </c>
      <c r="C228" s="22" t="s">
        <v>1</v>
      </c>
      <c r="D228" s="22" t="s">
        <v>36</v>
      </c>
      <c r="E228" s="23">
        <v>170593</v>
      </c>
      <c r="F228" s="20">
        <v>80</v>
      </c>
      <c r="G228" s="31">
        <v>2396.8000000000002</v>
      </c>
      <c r="H228" s="16">
        <v>-23708.740000000016</v>
      </c>
      <c r="I228" s="20">
        <v>29.96</v>
      </c>
      <c r="J228" s="18"/>
      <c r="K228" s="18"/>
      <c r="L228" s="18"/>
      <c r="M228" s="32"/>
    </row>
    <row r="229" spans="1:13" s="22" customFormat="1" ht="24" customHeight="1" thickBot="1">
      <c r="A229" s="21">
        <v>46042</v>
      </c>
      <c r="B229" s="22" t="s">
        <v>48</v>
      </c>
      <c r="C229" s="22" t="s">
        <v>17</v>
      </c>
      <c r="D229" s="22" t="s">
        <v>36</v>
      </c>
      <c r="E229" s="23">
        <v>158377</v>
      </c>
      <c r="F229" s="20">
        <v>50</v>
      </c>
      <c r="G229" s="31">
        <v>1498</v>
      </c>
      <c r="H229" s="16">
        <v>-25206.740000000016</v>
      </c>
      <c r="I229" s="20">
        <v>29.96</v>
      </c>
      <c r="J229" s="18"/>
      <c r="K229" s="18"/>
      <c r="L229" s="18"/>
      <c r="M229" s="32"/>
    </row>
    <row r="230" spans="1:13" s="22" customFormat="1" ht="24" customHeight="1" thickBot="1">
      <c r="A230" s="21">
        <v>46042</v>
      </c>
      <c r="B230" s="22" t="s">
        <v>52</v>
      </c>
      <c r="C230" s="22" t="s">
        <v>4</v>
      </c>
      <c r="D230" s="22" t="s">
        <v>36</v>
      </c>
      <c r="E230" s="23">
        <v>172528</v>
      </c>
      <c r="F230" s="20">
        <v>50</v>
      </c>
      <c r="G230" s="31">
        <v>1498</v>
      </c>
      <c r="H230" s="16">
        <v>-26704.740000000016</v>
      </c>
      <c r="I230" s="20">
        <v>29.96</v>
      </c>
      <c r="J230" s="18"/>
      <c r="K230" s="18"/>
      <c r="L230" s="18"/>
      <c r="M230" s="32"/>
    </row>
    <row r="231" spans="1:13" s="22" customFormat="1" ht="24" customHeight="1" thickBot="1">
      <c r="A231" s="21">
        <v>46042</v>
      </c>
      <c r="B231" s="22" t="s">
        <v>51</v>
      </c>
      <c r="C231" s="22" t="s">
        <v>3</v>
      </c>
      <c r="D231" s="22" t="s">
        <v>34</v>
      </c>
      <c r="E231" s="23">
        <v>303791</v>
      </c>
      <c r="F231" s="20">
        <v>50</v>
      </c>
      <c r="G231" s="31">
        <v>1498</v>
      </c>
      <c r="H231" s="16">
        <v>-28202.740000000016</v>
      </c>
      <c r="I231" s="20">
        <v>29.96</v>
      </c>
      <c r="J231" s="18"/>
      <c r="K231" s="18"/>
      <c r="L231" s="18"/>
      <c r="M231" s="32"/>
    </row>
    <row r="232" spans="1:13" s="22" customFormat="1" ht="24" customHeight="1" thickBot="1">
      <c r="A232" s="21">
        <v>46042</v>
      </c>
      <c r="B232" s="22" t="s">
        <v>41</v>
      </c>
      <c r="C232" s="22" t="s">
        <v>9</v>
      </c>
      <c r="D232" s="22" t="s">
        <v>34</v>
      </c>
      <c r="E232" s="23">
        <v>920441</v>
      </c>
      <c r="F232" s="20">
        <v>59.999999999999993</v>
      </c>
      <c r="G232" s="31">
        <v>1797.6</v>
      </c>
      <c r="H232" s="16">
        <v>-30000.340000000015</v>
      </c>
      <c r="I232" s="20">
        <v>29.96</v>
      </c>
      <c r="J232" s="18"/>
      <c r="K232" s="18"/>
      <c r="L232" s="18"/>
      <c r="M232" s="32"/>
    </row>
    <row r="233" spans="1:13" s="22" customFormat="1" ht="24" customHeight="1" thickBot="1">
      <c r="A233" s="21">
        <v>46042</v>
      </c>
      <c r="B233" s="22" t="s">
        <v>54</v>
      </c>
      <c r="C233" s="22" t="s">
        <v>16</v>
      </c>
      <c r="D233" s="22" t="s">
        <v>35</v>
      </c>
      <c r="E233" s="23">
        <v>234060</v>
      </c>
      <c r="F233" s="20">
        <v>50</v>
      </c>
      <c r="G233" s="31">
        <v>1498</v>
      </c>
      <c r="H233" s="16">
        <v>-31498.340000000015</v>
      </c>
      <c r="I233" s="20">
        <v>29.96</v>
      </c>
      <c r="J233" s="18"/>
      <c r="K233" s="18"/>
      <c r="L233" s="18"/>
      <c r="M233" s="32"/>
    </row>
    <row r="234" spans="1:13" s="22" customFormat="1" ht="24" customHeight="1" thickBot="1">
      <c r="A234" s="21">
        <v>46042</v>
      </c>
      <c r="B234" s="22" t="s">
        <v>57</v>
      </c>
      <c r="C234" s="22" t="s">
        <v>12</v>
      </c>
      <c r="D234" s="22" t="s">
        <v>35</v>
      </c>
      <c r="E234" s="23">
        <v>169263</v>
      </c>
      <c r="F234" s="20">
        <v>50</v>
      </c>
      <c r="G234" s="31">
        <v>1498</v>
      </c>
      <c r="H234" s="16">
        <v>-32996.340000000011</v>
      </c>
      <c r="I234" s="20">
        <v>29.96</v>
      </c>
      <c r="J234" s="18"/>
      <c r="K234" s="18"/>
      <c r="L234" s="18"/>
      <c r="M234" s="32"/>
    </row>
    <row r="235" spans="1:13" s="22" customFormat="1" ht="24" customHeight="1" thickBot="1">
      <c r="A235" s="21">
        <v>46042</v>
      </c>
      <c r="B235" s="22" t="s">
        <v>59</v>
      </c>
      <c r="C235" s="22" t="s">
        <v>11</v>
      </c>
      <c r="D235" s="22" t="s">
        <v>36</v>
      </c>
      <c r="E235" s="23">
        <v>234411</v>
      </c>
      <c r="F235" s="20">
        <v>50</v>
      </c>
      <c r="G235" s="31">
        <v>1498</v>
      </c>
      <c r="H235" s="16">
        <v>-34494.340000000011</v>
      </c>
      <c r="I235" s="20">
        <v>29.96</v>
      </c>
      <c r="J235" s="18"/>
      <c r="K235" s="18"/>
      <c r="L235" s="18"/>
      <c r="M235" s="32"/>
    </row>
    <row r="236" spans="1:13" s="22" customFormat="1" ht="24" customHeight="1" thickBot="1">
      <c r="A236" s="21">
        <v>46042</v>
      </c>
      <c r="B236" s="22" t="s">
        <v>55</v>
      </c>
      <c r="C236" s="22" t="s">
        <v>15</v>
      </c>
      <c r="D236" s="22" t="s">
        <v>36</v>
      </c>
      <c r="E236" s="23">
        <v>279623</v>
      </c>
      <c r="F236" s="20">
        <v>50</v>
      </c>
      <c r="G236" s="31">
        <v>1498</v>
      </c>
      <c r="H236" s="16">
        <v>-35992.340000000011</v>
      </c>
      <c r="I236" s="20">
        <v>29.96</v>
      </c>
      <c r="J236" s="18"/>
      <c r="K236" s="18"/>
      <c r="L236" s="18"/>
      <c r="M236" s="32"/>
    </row>
    <row r="237" spans="1:13" s="22" customFormat="1" ht="24" customHeight="1" thickBot="1">
      <c r="A237" s="21">
        <v>46043</v>
      </c>
      <c r="B237" s="22" t="s">
        <v>49</v>
      </c>
      <c r="C237" s="22" t="s">
        <v>6</v>
      </c>
      <c r="D237" s="22" t="s">
        <v>35</v>
      </c>
      <c r="E237" s="23">
        <v>169803</v>
      </c>
      <c r="F237" s="20">
        <v>50</v>
      </c>
      <c r="G237" s="31">
        <v>1498</v>
      </c>
      <c r="H237" s="16">
        <v>-37490.340000000011</v>
      </c>
      <c r="I237" s="20">
        <v>29.96</v>
      </c>
      <c r="J237" s="18"/>
      <c r="K237" s="18"/>
      <c r="L237" s="18"/>
      <c r="M237" s="32"/>
    </row>
    <row r="238" spans="1:13" s="22" customFormat="1" ht="24" customHeight="1" thickBot="1">
      <c r="A238" s="21">
        <v>46043</v>
      </c>
      <c r="B238" s="22" t="s">
        <v>53</v>
      </c>
      <c r="C238" s="22" t="s">
        <v>10</v>
      </c>
      <c r="D238" s="22" t="s">
        <v>34</v>
      </c>
      <c r="E238" s="23">
        <v>293943</v>
      </c>
      <c r="F238" s="20">
        <v>90</v>
      </c>
      <c r="G238" s="31">
        <v>2696.4</v>
      </c>
      <c r="H238" s="16">
        <v>-40186.740000000013</v>
      </c>
      <c r="I238" s="20">
        <v>29.96</v>
      </c>
      <c r="J238" s="18"/>
      <c r="K238" s="18"/>
      <c r="L238" s="18"/>
      <c r="M238" s="32"/>
    </row>
    <row r="239" spans="1:13" s="22" customFormat="1" ht="24" customHeight="1" thickBot="1">
      <c r="A239" s="21">
        <v>46043</v>
      </c>
      <c r="B239" s="22" t="s">
        <v>43</v>
      </c>
      <c r="C239" s="22" t="s">
        <v>1</v>
      </c>
      <c r="D239" s="22" t="s">
        <v>36</v>
      </c>
      <c r="E239" s="23">
        <v>170886</v>
      </c>
      <c r="F239" s="20">
        <v>86.001335113484643</v>
      </c>
      <c r="G239" s="31">
        <v>2576.6</v>
      </c>
      <c r="H239" s="16">
        <v>-42763.340000000011</v>
      </c>
      <c r="I239" s="20">
        <v>29.96</v>
      </c>
      <c r="J239" s="18"/>
      <c r="K239" s="18"/>
      <c r="L239" s="18"/>
      <c r="M239" s="32"/>
    </row>
    <row r="240" spans="1:13" s="22" customFormat="1" ht="24" hidden="1" customHeight="1" thickBot="1">
      <c r="A240" s="21">
        <v>46043</v>
      </c>
      <c r="B240" s="26" t="s">
        <v>20</v>
      </c>
      <c r="C240" s="26" t="s">
        <v>20</v>
      </c>
      <c r="D240" s="26" t="s">
        <v>20</v>
      </c>
      <c r="E240" s="27" t="s">
        <v>65</v>
      </c>
      <c r="F240" s="20" t="s">
        <v>20</v>
      </c>
      <c r="G240" s="31">
        <v>-50000</v>
      </c>
      <c r="H240" s="16">
        <v>7236.6599999999889</v>
      </c>
      <c r="I240" s="20">
        <v>29.96</v>
      </c>
      <c r="J240" s="28" t="s">
        <v>79</v>
      </c>
      <c r="K240" s="18"/>
      <c r="L240" s="18"/>
      <c r="M240" s="32"/>
    </row>
    <row r="241" spans="1:13" s="22" customFormat="1" ht="24" hidden="1" customHeight="1" thickBot="1">
      <c r="A241" s="21">
        <v>46043</v>
      </c>
      <c r="B241" s="26" t="s">
        <v>20</v>
      </c>
      <c r="C241" s="26" t="s">
        <v>20</v>
      </c>
      <c r="D241" s="26" t="s">
        <v>20</v>
      </c>
      <c r="E241" s="27" t="s">
        <v>65</v>
      </c>
      <c r="F241" s="20" t="s">
        <v>20</v>
      </c>
      <c r="G241" s="31">
        <v>-40000</v>
      </c>
      <c r="H241" s="16">
        <v>47236.659999999989</v>
      </c>
      <c r="I241" s="20">
        <v>29.96</v>
      </c>
      <c r="J241" s="28"/>
      <c r="K241" s="18"/>
      <c r="L241" s="18"/>
      <c r="M241" s="32"/>
    </row>
    <row r="242" spans="1:13" s="34" customFormat="1" ht="24" customHeight="1" thickBot="1">
      <c r="A242" s="33">
        <v>46043</v>
      </c>
      <c r="B242" s="34" t="s">
        <v>42</v>
      </c>
      <c r="C242" s="34" t="s">
        <v>32</v>
      </c>
      <c r="D242" s="34" t="s">
        <v>34</v>
      </c>
      <c r="E242" s="35" t="s">
        <v>20</v>
      </c>
      <c r="F242" s="20">
        <v>50</v>
      </c>
      <c r="G242" s="36">
        <v>1498</v>
      </c>
      <c r="H242" s="16">
        <v>45738.659999999989</v>
      </c>
      <c r="I242" s="37">
        <v>29.96</v>
      </c>
      <c r="J242" s="38"/>
      <c r="K242" s="38" t="s">
        <v>73</v>
      </c>
      <c r="L242" s="38"/>
      <c r="M242" s="39"/>
    </row>
    <row r="243" spans="1:13" s="22" customFormat="1" ht="24" customHeight="1" thickBot="1">
      <c r="A243" s="21">
        <v>46043</v>
      </c>
      <c r="B243" s="22" t="s">
        <v>50</v>
      </c>
      <c r="C243" s="22" t="s">
        <v>5</v>
      </c>
      <c r="D243" s="22" t="s">
        <v>36</v>
      </c>
      <c r="E243" s="23">
        <v>195096</v>
      </c>
      <c r="F243" s="20">
        <v>50</v>
      </c>
      <c r="G243" s="31">
        <v>1498</v>
      </c>
      <c r="H243" s="16">
        <v>44240.659999999989</v>
      </c>
      <c r="I243" s="20">
        <v>29.96</v>
      </c>
      <c r="J243" s="18"/>
      <c r="K243" s="18"/>
      <c r="L243" s="18"/>
      <c r="M243" s="32"/>
    </row>
    <row r="244" spans="1:13" s="22" customFormat="1" ht="24" customHeight="1" thickBot="1">
      <c r="A244" s="21">
        <v>46043</v>
      </c>
      <c r="B244" s="22" t="s">
        <v>63</v>
      </c>
      <c r="C244" s="22" t="s">
        <v>12</v>
      </c>
      <c r="D244" s="22" t="s">
        <v>34</v>
      </c>
      <c r="E244" s="23">
        <v>251920</v>
      </c>
      <c r="F244" s="20">
        <v>50</v>
      </c>
      <c r="G244" s="31">
        <v>1498</v>
      </c>
      <c r="H244" s="16">
        <v>42742.659999999989</v>
      </c>
      <c r="I244" s="20">
        <v>29.96</v>
      </c>
      <c r="J244" s="18"/>
      <c r="K244" s="18"/>
      <c r="L244" s="18"/>
      <c r="M244" s="32"/>
    </row>
    <row r="245" spans="1:13" s="22" customFormat="1" ht="24" customHeight="1" thickBot="1">
      <c r="A245" s="21">
        <v>46043</v>
      </c>
      <c r="B245" s="22" t="s">
        <v>60</v>
      </c>
      <c r="C245" s="22" t="s">
        <v>2</v>
      </c>
      <c r="D245" s="22" t="s">
        <v>36</v>
      </c>
      <c r="E245" s="23">
        <v>147477</v>
      </c>
      <c r="F245" s="20">
        <v>50</v>
      </c>
      <c r="G245" s="31">
        <v>1498</v>
      </c>
      <c r="H245" s="16">
        <v>41244.659999999989</v>
      </c>
      <c r="I245" s="20">
        <v>29.96</v>
      </c>
      <c r="J245" s="18"/>
      <c r="K245" s="18"/>
      <c r="L245" s="18"/>
      <c r="M245" s="32"/>
    </row>
    <row r="246" spans="1:13" s="22" customFormat="1" ht="24" customHeight="1" thickBot="1">
      <c r="A246" s="21">
        <v>46043</v>
      </c>
      <c r="B246" s="22" t="s">
        <v>51</v>
      </c>
      <c r="C246" s="22" t="s">
        <v>3</v>
      </c>
      <c r="D246" s="22" t="s">
        <v>34</v>
      </c>
      <c r="E246" s="23">
        <v>303955</v>
      </c>
      <c r="F246" s="20">
        <v>50</v>
      </c>
      <c r="G246" s="31">
        <v>1498</v>
      </c>
      <c r="H246" s="16">
        <v>39746.659999999989</v>
      </c>
      <c r="I246" s="20">
        <v>29.96</v>
      </c>
      <c r="J246" s="18"/>
      <c r="K246" s="18"/>
      <c r="L246" s="18"/>
      <c r="M246" s="32"/>
    </row>
    <row r="247" spans="1:13" s="34" customFormat="1" ht="24" customHeight="1" thickBot="1">
      <c r="A247" s="33">
        <v>46043</v>
      </c>
      <c r="B247" s="34" t="s">
        <v>41</v>
      </c>
      <c r="C247" s="34" t="s">
        <v>9</v>
      </c>
      <c r="D247" s="34" t="s">
        <v>34</v>
      </c>
      <c r="E247" s="35" t="s">
        <v>20</v>
      </c>
      <c r="F247" s="20">
        <v>59.999999999999993</v>
      </c>
      <c r="G247" s="36">
        <v>1797.6</v>
      </c>
      <c r="H247" s="16">
        <v>37949.05999999999</v>
      </c>
      <c r="I247" s="37">
        <v>29.96</v>
      </c>
      <c r="J247" s="38"/>
      <c r="K247" s="38" t="s">
        <v>71</v>
      </c>
      <c r="L247" s="38"/>
      <c r="M247" s="39"/>
    </row>
    <row r="248" spans="1:13" s="22" customFormat="1" ht="24" customHeight="1" thickBot="1">
      <c r="A248" s="21">
        <v>46043</v>
      </c>
      <c r="B248" s="22" t="s">
        <v>48</v>
      </c>
      <c r="C248" s="22" t="s">
        <v>17</v>
      </c>
      <c r="D248" s="22" t="s">
        <v>36</v>
      </c>
      <c r="E248" s="23">
        <v>158573</v>
      </c>
      <c r="F248" s="20">
        <v>50</v>
      </c>
      <c r="G248" s="31">
        <v>1498</v>
      </c>
      <c r="H248" s="16">
        <v>36451.05999999999</v>
      </c>
      <c r="I248" s="20">
        <v>29.96</v>
      </c>
      <c r="J248" s="18"/>
      <c r="K248" s="18"/>
      <c r="L248" s="18"/>
      <c r="M248" s="32"/>
    </row>
    <row r="249" spans="1:13" s="22" customFormat="1" ht="24" customHeight="1" thickBot="1">
      <c r="A249" s="21">
        <v>46043</v>
      </c>
      <c r="B249" s="22" t="s">
        <v>59</v>
      </c>
      <c r="C249" s="22" t="s">
        <v>11</v>
      </c>
      <c r="D249" s="22" t="s">
        <v>36</v>
      </c>
      <c r="E249" s="30">
        <v>234617</v>
      </c>
      <c r="F249" s="20">
        <v>50</v>
      </c>
      <c r="G249" s="31">
        <v>1498</v>
      </c>
      <c r="H249" s="16">
        <v>34953.05999999999</v>
      </c>
      <c r="I249" s="20">
        <v>29.96</v>
      </c>
      <c r="J249" s="18"/>
      <c r="K249" s="18"/>
      <c r="L249" s="18"/>
      <c r="M249" s="32"/>
    </row>
    <row r="250" spans="1:13" s="22" customFormat="1" ht="24" customHeight="1" thickBot="1">
      <c r="A250" s="21">
        <v>46043</v>
      </c>
      <c r="B250" s="22" t="s">
        <v>54</v>
      </c>
      <c r="C250" s="22" t="s">
        <v>16</v>
      </c>
      <c r="D250" s="22" t="s">
        <v>36</v>
      </c>
      <c r="E250" s="23">
        <v>234261</v>
      </c>
      <c r="F250" s="20">
        <v>50</v>
      </c>
      <c r="G250" s="31">
        <v>1498</v>
      </c>
      <c r="H250" s="16">
        <v>33455.05999999999</v>
      </c>
      <c r="I250" s="20">
        <v>29.96</v>
      </c>
      <c r="J250" s="18"/>
      <c r="K250" s="18"/>
      <c r="L250" s="18"/>
      <c r="M250" s="32"/>
    </row>
    <row r="251" spans="1:13" s="22" customFormat="1" ht="24" customHeight="1" thickBot="1">
      <c r="A251" s="21">
        <v>46043</v>
      </c>
      <c r="B251" s="22" t="s">
        <v>55</v>
      </c>
      <c r="C251" s="22" t="s">
        <v>15</v>
      </c>
      <c r="D251" s="22" t="s">
        <v>36</v>
      </c>
      <c r="E251" s="23">
        <v>279767</v>
      </c>
      <c r="F251" s="20">
        <v>50</v>
      </c>
      <c r="G251" s="31">
        <v>1498</v>
      </c>
      <c r="H251" s="16">
        <v>31957.05999999999</v>
      </c>
      <c r="I251" s="20">
        <v>29.96</v>
      </c>
      <c r="J251" s="18"/>
      <c r="K251" s="18"/>
      <c r="L251" s="18"/>
      <c r="M251" s="32"/>
    </row>
    <row r="252" spans="1:13" s="22" customFormat="1" ht="24" customHeight="1" thickBot="1">
      <c r="A252" s="21">
        <v>46044</v>
      </c>
      <c r="B252" s="22" t="s">
        <v>53</v>
      </c>
      <c r="C252" s="22" t="s">
        <v>10</v>
      </c>
      <c r="D252" s="22" t="s">
        <v>34</v>
      </c>
      <c r="E252" s="30">
        <v>294262</v>
      </c>
      <c r="F252" s="20">
        <v>90</v>
      </c>
      <c r="G252" s="31">
        <v>2696.4</v>
      </c>
      <c r="H252" s="16">
        <v>29260.659999999989</v>
      </c>
      <c r="I252" s="20">
        <v>29.96</v>
      </c>
      <c r="J252" s="18"/>
      <c r="K252" s="18"/>
      <c r="L252" s="18"/>
      <c r="M252" s="32"/>
    </row>
    <row r="253" spans="1:13" s="22" customFormat="1" ht="24" customHeight="1" thickBot="1">
      <c r="A253" s="21">
        <v>46044</v>
      </c>
      <c r="B253" s="22" t="s">
        <v>45</v>
      </c>
      <c r="C253" s="22" t="s">
        <v>7</v>
      </c>
      <c r="D253" s="22" t="s">
        <v>34</v>
      </c>
      <c r="E253" s="23">
        <v>174479</v>
      </c>
      <c r="F253" s="20">
        <v>168.99866488651534</v>
      </c>
      <c r="G253" s="31">
        <v>5063.2</v>
      </c>
      <c r="H253" s="16">
        <v>24197.459999999988</v>
      </c>
      <c r="I253" s="20">
        <v>29.96</v>
      </c>
      <c r="J253" s="18"/>
      <c r="K253" s="18"/>
      <c r="L253" s="18"/>
      <c r="M253" s="32"/>
    </row>
    <row r="254" spans="1:13" s="22" customFormat="1" ht="24" customHeight="1" thickBot="1">
      <c r="A254" s="21">
        <v>46044</v>
      </c>
      <c r="B254" s="22" t="s">
        <v>43</v>
      </c>
      <c r="C254" s="22" t="s">
        <v>1</v>
      </c>
      <c r="D254" s="22" t="s">
        <v>36</v>
      </c>
      <c r="E254" s="23">
        <v>171179</v>
      </c>
      <c r="F254" s="20">
        <v>83.998664886515343</v>
      </c>
      <c r="G254" s="31">
        <v>2516.6</v>
      </c>
      <c r="H254" s="16">
        <v>21680.85999999999</v>
      </c>
      <c r="I254" s="20">
        <v>29.96</v>
      </c>
      <c r="J254" s="18"/>
      <c r="K254" s="18"/>
      <c r="L254" s="18"/>
      <c r="M254" s="32"/>
    </row>
    <row r="255" spans="1:13" s="22" customFormat="1" ht="24" customHeight="1" thickBot="1">
      <c r="A255" s="21">
        <v>46044</v>
      </c>
      <c r="B255" s="22" t="s">
        <v>49</v>
      </c>
      <c r="C255" s="22" t="s">
        <v>6</v>
      </c>
      <c r="D255" s="22" t="s">
        <v>35</v>
      </c>
      <c r="E255" s="23">
        <v>170086</v>
      </c>
      <c r="F255" s="20">
        <v>100</v>
      </c>
      <c r="G255" s="31">
        <v>2996</v>
      </c>
      <c r="H255" s="16">
        <v>18684.85999999999</v>
      </c>
      <c r="I255" s="20">
        <v>29.96</v>
      </c>
      <c r="J255" s="18"/>
      <c r="K255" s="18"/>
      <c r="L255" s="18"/>
      <c r="M255" s="32"/>
    </row>
    <row r="256" spans="1:13" s="22" customFormat="1" ht="24" customHeight="1" thickBot="1">
      <c r="A256" s="21">
        <v>46044</v>
      </c>
      <c r="B256" s="22" t="s">
        <v>51</v>
      </c>
      <c r="C256" s="22" t="s">
        <v>3</v>
      </c>
      <c r="D256" s="22" t="s">
        <v>35</v>
      </c>
      <c r="E256" s="23">
        <v>304182</v>
      </c>
      <c r="F256" s="20">
        <v>90</v>
      </c>
      <c r="G256" s="31">
        <v>2696.4</v>
      </c>
      <c r="H256" s="16">
        <v>15988.45999999999</v>
      </c>
      <c r="I256" s="20">
        <v>29.96</v>
      </c>
      <c r="J256" s="18"/>
      <c r="K256" s="18"/>
      <c r="L256" s="18"/>
      <c r="M256" s="32"/>
    </row>
    <row r="257" spans="1:13" s="22" customFormat="1" ht="24" customHeight="1" thickBot="1">
      <c r="A257" s="21">
        <v>46044</v>
      </c>
      <c r="B257" s="22" t="s">
        <v>57</v>
      </c>
      <c r="C257" s="22" t="s">
        <v>12</v>
      </c>
      <c r="D257" s="22" t="s">
        <v>35</v>
      </c>
      <c r="E257" s="23">
        <v>169443</v>
      </c>
      <c r="F257" s="20">
        <v>50</v>
      </c>
      <c r="G257" s="31">
        <v>1498</v>
      </c>
      <c r="H257" s="16">
        <v>14490.45999999999</v>
      </c>
      <c r="I257" s="20">
        <v>29.96</v>
      </c>
      <c r="J257" s="18"/>
      <c r="K257" s="18"/>
      <c r="L257" s="18"/>
      <c r="M257" s="32"/>
    </row>
    <row r="258" spans="1:13" s="22" customFormat="1" ht="24" customHeight="1" thickBot="1">
      <c r="A258" s="21">
        <v>46044</v>
      </c>
      <c r="B258" s="22" t="s">
        <v>56</v>
      </c>
      <c r="C258" s="22" t="s">
        <v>62</v>
      </c>
      <c r="D258" s="22" t="s">
        <v>36</v>
      </c>
      <c r="E258" s="23">
        <v>293981</v>
      </c>
      <c r="F258" s="20">
        <v>160</v>
      </c>
      <c r="G258" s="31">
        <v>4793.6000000000004</v>
      </c>
      <c r="H258" s="16">
        <v>9696.8599999999897</v>
      </c>
      <c r="I258" s="20">
        <v>29.96</v>
      </c>
      <c r="J258" s="18"/>
      <c r="K258" s="18"/>
      <c r="L258" s="18"/>
      <c r="M258" s="32"/>
    </row>
    <row r="259" spans="1:13" s="22" customFormat="1" ht="24" customHeight="1" thickBot="1">
      <c r="A259" s="21">
        <v>46044</v>
      </c>
      <c r="B259" s="22" t="s">
        <v>46</v>
      </c>
      <c r="C259" s="25" t="s">
        <v>47</v>
      </c>
      <c r="D259" s="22" t="s">
        <v>35</v>
      </c>
      <c r="E259" s="23">
        <v>236972</v>
      </c>
      <c r="F259" s="20">
        <v>133.99866488651534</v>
      </c>
      <c r="G259" s="31">
        <v>4014.6</v>
      </c>
      <c r="H259" s="16">
        <v>5682.2599999999893</v>
      </c>
      <c r="I259" s="20">
        <v>29.96</v>
      </c>
      <c r="J259" s="18"/>
      <c r="K259" s="18"/>
      <c r="L259" s="18"/>
      <c r="M259" s="32"/>
    </row>
    <row r="260" spans="1:13" s="22" customFormat="1" ht="24" customHeight="1" thickBot="1">
      <c r="A260" s="21">
        <v>46044</v>
      </c>
      <c r="B260" s="22" t="s">
        <v>54</v>
      </c>
      <c r="C260" s="22" t="s">
        <v>16</v>
      </c>
      <c r="D260" s="22" t="s">
        <v>36</v>
      </c>
      <c r="E260" s="23">
        <v>234444</v>
      </c>
      <c r="F260" s="20">
        <v>50</v>
      </c>
      <c r="G260" s="31">
        <v>1498</v>
      </c>
      <c r="H260" s="16">
        <v>4184.2599999999893</v>
      </c>
      <c r="I260" s="20">
        <v>29.96</v>
      </c>
      <c r="J260" s="18"/>
      <c r="K260" s="18"/>
      <c r="L260" s="18"/>
      <c r="M260" s="32"/>
    </row>
    <row r="261" spans="1:13" s="22" customFormat="1" ht="24" customHeight="1" thickBot="1">
      <c r="A261" s="21">
        <v>46044</v>
      </c>
      <c r="B261" s="22" t="s">
        <v>39</v>
      </c>
      <c r="C261" s="22" t="s">
        <v>64</v>
      </c>
      <c r="D261" s="22" t="s">
        <v>34</v>
      </c>
      <c r="E261" s="23" t="s">
        <v>20</v>
      </c>
      <c r="F261" s="20">
        <v>16.688918558077436</v>
      </c>
      <c r="G261" s="31">
        <v>500</v>
      </c>
      <c r="H261" s="16">
        <v>3684.2599999999893</v>
      </c>
      <c r="I261" s="20">
        <v>29.96</v>
      </c>
      <c r="J261" s="18"/>
      <c r="K261" s="18"/>
      <c r="L261" s="18"/>
      <c r="M261" s="32"/>
    </row>
    <row r="262" spans="1:13" s="22" customFormat="1" ht="24" customHeight="1" thickBot="1">
      <c r="A262" s="21">
        <v>46044</v>
      </c>
      <c r="B262" s="22" t="s">
        <v>50</v>
      </c>
      <c r="C262" s="22" t="s">
        <v>5</v>
      </c>
      <c r="D262" s="22" t="s">
        <v>36</v>
      </c>
      <c r="E262" s="23">
        <v>195265</v>
      </c>
      <c r="F262" s="20">
        <v>50</v>
      </c>
      <c r="G262" s="31">
        <v>1498</v>
      </c>
      <c r="H262" s="16">
        <v>2186.2599999999893</v>
      </c>
      <c r="I262" s="20">
        <v>29.96</v>
      </c>
      <c r="J262" s="18"/>
      <c r="K262" s="18"/>
      <c r="L262" s="18"/>
      <c r="M262" s="32"/>
    </row>
    <row r="263" spans="1:13" s="22" customFormat="1" ht="24" customHeight="1" thickBot="1">
      <c r="A263" s="21">
        <v>46044</v>
      </c>
      <c r="B263" s="22" t="s">
        <v>60</v>
      </c>
      <c r="C263" s="22" t="s">
        <v>2</v>
      </c>
      <c r="D263" s="22" t="s">
        <v>35</v>
      </c>
      <c r="E263" s="23">
        <v>147659</v>
      </c>
      <c r="F263" s="20">
        <v>50</v>
      </c>
      <c r="G263" s="31">
        <v>1498</v>
      </c>
      <c r="H263" s="16">
        <v>688.2599999999893</v>
      </c>
      <c r="I263" s="20">
        <v>29.96</v>
      </c>
      <c r="J263" s="18"/>
      <c r="K263" s="18"/>
      <c r="L263" s="18"/>
      <c r="M263" s="32"/>
    </row>
    <row r="264" spans="1:13" s="22" customFormat="1" ht="24" customHeight="1" thickBot="1">
      <c r="A264" s="21">
        <v>46044</v>
      </c>
      <c r="B264" s="22" t="s">
        <v>48</v>
      </c>
      <c r="C264" s="22" t="s">
        <v>17</v>
      </c>
      <c r="D264" s="22" t="s">
        <v>34</v>
      </c>
      <c r="E264" s="23">
        <v>158706</v>
      </c>
      <c r="F264" s="20">
        <v>50</v>
      </c>
      <c r="G264" s="31">
        <v>1498</v>
      </c>
      <c r="H264" s="16">
        <v>-809.7400000000107</v>
      </c>
      <c r="I264" s="20">
        <v>29.96</v>
      </c>
      <c r="J264" s="18"/>
      <c r="K264" s="18"/>
      <c r="L264" s="18"/>
      <c r="M264" s="32"/>
    </row>
    <row r="265" spans="1:13" s="34" customFormat="1" ht="24" customHeight="1" thickBot="1">
      <c r="A265" s="33">
        <v>46044</v>
      </c>
      <c r="B265" s="34" t="s">
        <v>41</v>
      </c>
      <c r="C265" s="34" t="s">
        <v>9</v>
      </c>
      <c r="D265" s="34" t="s">
        <v>34</v>
      </c>
      <c r="E265" s="35" t="s">
        <v>20</v>
      </c>
      <c r="F265" s="20">
        <v>59.999999999999993</v>
      </c>
      <c r="G265" s="36">
        <v>1797.6</v>
      </c>
      <c r="H265" s="16">
        <v>-2607.3400000000106</v>
      </c>
      <c r="I265" s="37">
        <v>29.96</v>
      </c>
      <c r="J265" s="38"/>
      <c r="K265" s="38" t="s">
        <v>71</v>
      </c>
      <c r="L265" s="38"/>
      <c r="M265" s="39"/>
    </row>
    <row r="266" spans="1:13" s="34" customFormat="1" ht="24" customHeight="1" thickBot="1">
      <c r="A266" s="33">
        <v>46044</v>
      </c>
      <c r="B266" s="34" t="s">
        <v>42</v>
      </c>
      <c r="C266" s="34" t="s">
        <v>32</v>
      </c>
      <c r="D266" s="34" t="s">
        <v>36</v>
      </c>
      <c r="E266" s="35" t="s">
        <v>20</v>
      </c>
      <c r="F266" s="20">
        <v>50</v>
      </c>
      <c r="G266" s="36">
        <v>1498</v>
      </c>
      <c r="H266" s="16">
        <v>-4105.3400000000111</v>
      </c>
      <c r="I266" s="37">
        <v>29.96</v>
      </c>
      <c r="J266" s="38"/>
      <c r="K266" s="38" t="s">
        <v>72</v>
      </c>
      <c r="L266" s="38"/>
      <c r="M266" s="39"/>
    </row>
    <row r="267" spans="1:13" s="22" customFormat="1" ht="24" customHeight="1" thickBot="1">
      <c r="A267" s="21">
        <v>46044</v>
      </c>
      <c r="B267" s="22" t="s">
        <v>55</v>
      </c>
      <c r="C267" s="22" t="s">
        <v>15</v>
      </c>
      <c r="D267" s="22" t="s">
        <v>36</v>
      </c>
      <c r="E267" s="23">
        <v>279900</v>
      </c>
      <c r="F267" s="20">
        <v>50</v>
      </c>
      <c r="G267" s="31">
        <v>1498</v>
      </c>
      <c r="H267" s="16">
        <v>-5603.3400000000111</v>
      </c>
      <c r="I267" s="20">
        <v>29.96</v>
      </c>
      <c r="J267" s="18"/>
      <c r="K267" s="18"/>
      <c r="L267" s="18"/>
      <c r="M267" s="32"/>
    </row>
    <row r="268" spans="1:13" s="22" customFormat="1" ht="24" customHeight="1" thickBot="1">
      <c r="A268" s="21">
        <v>46044</v>
      </c>
      <c r="B268" s="22" t="s">
        <v>53</v>
      </c>
      <c r="C268" s="22" t="s">
        <v>10</v>
      </c>
      <c r="D268" s="22" t="s">
        <v>69</v>
      </c>
      <c r="E268" s="23">
        <v>294560</v>
      </c>
      <c r="F268" s="20">
        <v>90</v>
      </c>
      <c r="G268" s="31">
        <v>2696.4</v>
      </c>
      <c r="H268" s="16">
        <v>-8299.7400000000107</v>
      </c>
      <c r="I268" s="20">
        <v>29.96</v>
      </c>
      <c r="J268" s="18"/>
      <c r="K268" s="18"/>
      <c r="L268" s="18"/>
      <c r="M268" s="32"/>
    </row>
    <row r="269" spans="1:13" s="22" customFormat="1" ht="24" customHeight="1" thickBot="1">
      <c r="A269" s="21">
        <v>46044</v>
      </c>
      <c r="B269" s="22" t="s">
        <v>48</v>
      </c>
      <c r="C269" s="22" t="s">
        <v>17</v>
      </c>
      <c r="D269" s="22" t="s">
        <v>34</v>
      </c>
      <c r="E269" s="23">
        <v>158793</v>
      </c>
      <c r="F269" s="20">
        <v>50</v>
      </c>
      <c r="G269" s="31">
        <v>1498</v>
      </c>
      <c r="H269" s="16">
        <v>-9797.7400000000107</v>
      </c>
      <c r="I269" s="20">
        <v>29.96</v>
      </c>
      <c r="J269" s="18"/>
      <c r="K269" s="18"/>
      <c r="L269" s="18"/>
      <c r="M269" s="32"/>
    </row>
    <row r="270" spans="1:13" s="22" customFormat="1" ht="24" customHeight="1" thickBot="1">
      <c r="A270" s="21">
        <v>46044</v>
      </c>
      <c r="B270" s="22" t="s">
        <v>52</v>
      </c>
      <c r="C270" s="22" t="s">
        <v>4</v>
      </c>
      <c r="D270" s="22" t="s">
        <v>35</v>
      </c>
      <c r="E270" s="30">
        <v>172686</v>
      </c>
      <c r="F270" s="20">
        <v>50</v>
      </c>
      <c r="G270" s="31">
        <v>1498</v>
      </c>
      <c r="H270" s="16">
        <v>-11295.740000000011</v>
      </c>
      <c r="I270" s="20">
        <v>29.96</v>
      </c>
      <c r="J270" s="18"/>
      <c r="K270" s="18"/>
      <c r="L270" s="18"/>
      <c r="M270" s="32"/>
    </row>
    <row r="271" spans="1:13" s="22" customFormat="1" ht="24" customHeight="1" thickBot="1">
      <c r="A271" s="21">
        <v>46044</v>
      </c>
      <c r="B271" s="22" t="s">
        <v>52</v>
      </c>
      <c r="C271" s="22" t="s">
        <v>4</v>
      </c>
      <c r="D271" s="22" t="s">
        <v>34</v>
      </c>
      <c r="E271" s="23">
        <v>172774</v>
      </c>
      <c r="F271" s="20">
        <v>50</v>
      </c>
      <c r="G271" s="31">
        <v>1498</v>
      </c>
      <c r="H271" s="16">
        <v>-12793.740000000011</v>
      </c>
      <c r="I271" s="20">
        <v>29.96</v>
      </c>
      <c r="J271" s="18"/>
      <c r="K271" s="18"/>
      <c r="L271" s="18"/>
      <c r="M271" s="32"/>
    </row>
    <row r="272" spans="1:13" s="22" customFormat="1" ht="24" customHeight="1" thickBot="1">
      <c r="A272" s="21">
        <v>46045</v>
      </c>
      <c r="B272" s="22" t="s">
        <v>59</v>
      </c>
      <c r="C272" s="22" t="s">
        <v>11</v>
      </c>
      <c r="D272" s="22" t="s">
        <v>36</v>
      </c>
      <c r="E272" s="23">
        <v>234787</v>
      </c>
      <c r="F272" s="20">
        <v>50</v>
      </c>
      <c r="G272" s="31">
        <v>1498</v>
      </c>
      <c r="H272" s="16">
        <v>-14291.740000000011</v>
      </c>
      <c r="I272" s="20">
        <v>29.96</v>
      </c>
      <c r="J272" s="18"/>
      <c r="K272" s="18"/>
      <c r="L272" s="18"/>
      <c r="M272" s="32"/>
    </row>
    <row r="273" spans="1:13" s="22" customFormat="1" ht="24" customHeight="1" thickBot="1">
      <c r="A273" s="21">
        <v>46045</v>
      </c>
      <c r="B273" s="22" t="s">
        <v>43</v>
      </c>
      <c r="C273" s="22" t="s">
        <v>1</v>
      </c>
      <c r="D273" s="22" t="s">
        <v>36</v>
      </c>
      <c r="E273" s="23">
        <v>171472</v>
      </c>
      <c r="F273" s="20">
        <v>90</v>
      </c>
      <c r="G273" s="31">
        <v>2696.4</v>
      </c>
      <c r="H273" s="16">
        <v>-16988.14000000001</v>
      </c>
      <c r="I273" s="20">
        <v>29.96</v>
      </c>
      <c r="J273" s="18"/>
      <c r="K273" s="18"/>
      <c r="L273" s="18"/>
      <c r="M273" s="32"/>
    </row>
    <row r="274" spans="1:13" s="22" customFormat="1" ht="24" hidden="1" customHeight="1" thickBot="1">
      <c r="A274" s="21">
        <v>46045</v>
      </c>
      <c r="B274" s="26" t="s">
        <v>20</v>
      </c>
      <c r="C274" s="26" t="s">
        <v>20</v>
      </c>
      <c r="D274" s="26" t="s">
        <v>20</v>
      </c>
      <c r="E274" s="27" t="s">
        <v>65</v>
      </c>
      <c r="F274" s="20" t="s">
        <v>20</v>
      </c>
      <c r="G274" s="31">
        <v>-50000</v>
      </c>
      <c r="H274" s="16">
        <v>33011.859999999986</v>
      </c>
      <c r="I274" s="20">
        <v>29.96</v>
      </c>
      <c r="J274" s="28" t="s">
        <v>80</v>
      </c>
      <c r="K274" s="18"/>
      <c r="L274" s="18"/>
      <c r="M274" s="32"/>
    </row>
    <row r="275" spans="1:13" s="22" customFormat="1" ht="24" customHeight="1" thickBot="1">
      <c r="A275" s="21">
        <v>46045</v>
      </c>
      <c r="B275" s="22" t="s">
        <v>63</v>
      </c>
      <c r="C275" s="22" t="s">
        <v>12</v>
      </c>
      <c r="D275" s="22" t="s">
        <v>36</v>
      </c>
      <c r="E275" s="23">
        <v>251990</v>
      </c>
      <c r="F275" s="20">
        <v>50</v>
      </c>
      <c r="G275" s="31">
        <v>1498</v>
      </c>
      <c r="H275" s="16">
        <v>31513.859999999986</v>
      </c>
      <c r="I275" s="20">
        <v>29.96</v>
      </c>
      <c r="J275" s="18"/>
      <c r="K275" s="18"/>
      <c r="L275" s="18"/>
      <c r="M275" s="32"/>
    </row>
    <row r="276" spans="1:13" s="22" customFormat="1" ht="24" customHeight="1" thickBot="1">
      <c r="A276" s="21">
        <v>46045</v>
      </c>
      <c r="B276" s="25" t="s">
        <v>41</v>
      </c>
      <c r="C276" s="25" t="s">
        <v>9</v>
      </c>
      <c r="D276" s="22" t="s">
        <v>36</v>
      </c>
      <c r="E276" s="23">
        <v>920754</v>
      </c>
      <c r="F276" s="20">
        <v>59.999999999999993</v>
      </c>
      <c r="G276" s="40">
        <v>1797.6</v>
      </c>
      <c r="H276" s="16">
        <v>29716.259999999987</v>
      </c>
      <c r="I276" s="20">
        <v>29.96</v>
      </c>
      <c r="J276" s="18"/>
      <c r="K276" s="18"/>
      <c r="L276" s="18"/>
      <c r="M276" s="32"/>
    </row>
    <row r="277" spans="1:13" s="22" customFormat="1" ht="24" customHeight="1" thickBot="1">
      <c r="A277" s="21">
        <v>46045</v>
      </c>
      <c r="B277" s="25" t="s">
        <v>50</v>
      </c>
      <c r="C277" s="25" t="s">
        <v>5</v>
      </c>
      <c r="D277" s="22" t="s">
        <v>34</v>
      </c>
      <c r="E277" s="23">
        <v>195388</v>
      </c>
      <c r="F277" s="20">
        <v>50</v>
      </c>
      <c r="G277" s="40">
        <v>1498</v>
      </c>
      <c r="H277" s="16">
        <v>28218.259999999987</v>
      </c>
      <c r="I277" s="20">
        <v>29.96</v>
      </c>
      <c r="J277" s="18"/>
      <c r="K277" s="18"/>
      <c r="L277" s="18"/>
      <c r="M277" s="32"/>
    </row>
    <row r="278" spans="1:13" s="34" customFormat="1" ht="24" customHeight="1" thickBot="1">
      <c r="A278" s="33">
        <v>46045</v>
      </c>
      <c r="B278" s="34" t="s">
        <v>42</v>
      </c>
      <c r="C278" s="34" t="s">
        <v>32</v>
      </c>
      <c r="D278" s="34" t="s">
        <v>35</v>
      </c>
      <c r="E278" s="35" t="s">
        <v>20</v>
      </c>
      <c r="F278" s="20">
        <v>50</v>
      </c>
      <c r="G278" s="36">
        <v>1498</v>
      </c>
      <c r="H278" s="16">
        <v>26720.259999999987</v>
      </c>
      <c r="I278" s="37">
        <v>29.96</v>
      </c>
      <c r="J278" s="38"/>
      <c r="K278" s="38" t="s">
        <v>74</v>
      </c>
      <c r="L278" s="38"/>
      <c r="M278" s="39"/>
    </row>
    <row r="279" spans="1:13" s="22" customFormat="1" ht="24" customHeight="1" thickBot="1">
      <c r="A279" s="21">
        <v>46045</v>
      </c>
      <c r="B279" s="22" t="s">
        <v>59</v>
      </c>
      <c r="C279" s="22" t="s">
        <v>11</v>
      </c>
      <c r="D279" s="22" t="s">
        <v>36</v>
      </c>
      <c r="E279" s="23">
        <v>234906</v>
      </c>
      <c r="F279" s="20">
        <v>50</v>
      </c>
      <c r="G279" s="31">
        <v>1498</v>
      </c>
      <c r="H279" s="16">
        <v>25222.259999999987</v>
      </c>
      <c r="I279" s="20">
        <v>29.96</v>
      </c>
      <c r="J279" s="18"/>
      <c r="K279" s="18"/>
      <c r="L279" s="18"/>
      <c r="M279" s="32"/>
    </row>
    <row r="280" spans="1:13" s="22" customFormat="1" ht="24" customHeight="1" thickBot="1">
      <c r="A280" s="21">
        <v>46045</v>
      </c>
      <c r="B280" s="22" t="s">
        <v>49</v>
      </c>
      <c r="C280" s="22" t="s">
        <v>6</v>
      </c>
      <c r="D280" s="22" t="s">
        <v>35</v>
      </c>
      <c r="E280" s="23">
        <v>170306</v>
      </c>
      <c r="F280" s="20">
        <v>50</v>
      </c>
      <c r="G280" s="31">
        <v>1498</v>
      </c>
      <c r="H280" s="16">
        <v>23724.259999999987</v>
      </c>
      <c r="I280" s="20">
        <v>29.96</v>
      </c>
      <c r="J280" s="18"/>
      <c r="K280" s="18"/>
      <c r="L280" s="18"/>
      <c r="M280" s="32"/>
    </row>
    <row r="281" spans="1:13" s="22" customFormat="1" ht="24" customHeight="1" thickBot="1">
      <c r="A281" s="21">
        <v>46045</v>
      </c>
      <c r="B281" s="22" t="s">
        <v>51</v>
      </c>
      <c r="C281" s="22" t="s">
        <v>3</v>
      </c>
      <c r="D281" s="22" t="s">
        <v>35</v>
      </c>
      <c r="E281" s="23">
        <v>304489</v>
      </c>
      <c r="F281" s="20">
        <v>85</v>
      </c>
      <c r="G281" s="31">
        <v>2546.6</v>
      </c>
      <c r="H281" s="16">
        <v>21177.659999999989</v>
      </c>
      <c r="I281" s="20">
        <v>29.96</v>
      </c>
      <c r="J281" s="18"/>
      <c r="K281" s="18"/>
      <c r="L281" s="18"/>
      <c r="M281" s="32"/>
    </row>
    <row r="282" spans="1:13" s="22" customFormat="1" ht="24" customHeight="1" thickBot="1">
      <c r="A282" s="21">
        <v>46045</v>
      </c>
      <c r="B282" s="22" t="s">
        <v>54</v>
      </c>
      <c r="C282" s="22" t="s">
        <v>16</v>
      </c>
      <c r="D282" s="22" t="s">
        <v>36</v>
      </c>
      <c r="E282" s="23">
        <v>234658</v>
      </c>
      <c r="F282" s="20">
        <v>50</v>
      </c>
      <c r="G282" s="31">
        <v>1498</v>
      </c>
      <c r="H282" s="16">
        <v>19679.659999999989</v>
      </c>
      <c r="I282" s="20">
        <v>29.96</v>
      </c>
      <c r="J282" s="18"/>
      <c r="K282" s="18"/>
      <c r="L282" s="18"/>
      <c r="M282" s="32"/>
    </row>
    <row r="283" spans="1:13" s="22" customFormat="1" ht="24" customHeight="1" thickBot="1">
      <c r="A283" s="21">
        <v>46045</v>
      </c>
      <c r="B283" s="22" t="s">
        <v>39</v>
      </c>
      <c r="C283" s="22" t="s">
        <v>64</v>
      </c>
      <c r="D283" s="22" t="s">
        <v>34</v>
      </c>
      <c r="E283" s="23" t="s">
        <v>20</v>
      </c>
      <c r="F283" s="20">
        <v>16.688918558077436</v>
      </c>
      <c r="G283" s="31">
        <v>500</v>
      </c>
      <c r="H283" s="16">
        <v>19179.659999999989</v>
      </c>
      <c r="I283" s="20">
        <v>29.96</v>
      </c>
      <c r="J283" s="18"/>
      <c r="K283" s="18"/>
      <c r="L283" s="18"/>
      <c r="M283" s="32"/>
    </row>
    <row r="284" spans="1:13" s="22" customFormat="1" ht="24" customHeight="1" thickBot="1">
      <c r="A284" s="21">
        <v>46045</v>
      </c>
      <c r="B284" s="22" t="s">
        <v>53</v>
      </c>
      <c r="C284" s="22" t="s">
        <v>10</v>
      </c>
      <c r="D284" s="22" t="s">
        <v>69</v>
      </c>
      <c r="E284" s="23">
        <v>294865</v>
      </c>
      <c r="F284" s="20">
        <v>50</v>
      </c>
      <c r="G284" s="31">
        <v>1498</v>
      </c>
      <c r="H284" s="16">
        <v>17681.659999999989</v>
      </c>
      <c r="I284" s="20">
        <v>29.96</v>
      </c>
      <c r="J284" s="18"/>
      <c r="K284" s="18"/>
      <c r="L284" s="18"/>
      <c r="M284" s="32"/>
    </row>
    <row r="285" spans="1:13" s="22" customFormat="1" ht="24" customHeight="1" thickBot="1">
      <c r="A285" s="21">
        <v>46046</v>
      </c>
      <c r="B285" s="22" t="s">
        <v>52</v>
      </c>
      <c r="C285" s="22" t="s">
        <v>4</v>
      </c>
      <c r="D285" s="22" t="s">
        <v>36</v>
      </c>
      <c r="E285" s="23">
        <v>172946</v>
      </c>
      <c r="F285" s="20">
        <v>50</v>
      </c>
      <c r="G285" s="31">
        <v>1498</v>
      </c>
      <c r="H285" s="16">
        <v>16183.659999999989</v>
      </c>
      <c r="I285" s="20">
        <v>29.96</v>
      </c>
      <c r="J285" s="18"/>
      <c r="K285" s="18"/>
      <c r="L285" s="18"/>
      <c r="M285" s="32"/>
    </row>
    <row r="286" spans="1:13" s="22" customFormat="1" ht="24" customHeight="1" thickBot="1">
      <c r="A286" s="21">
        <v>46046</v>
      </c>
      <c r="B286" s="22" t="s">
        <v>54</v>
      </c>
      <c r="C286" s="22" t="s">
        <v>16</v>
      </c>
      <c r="D286" s="22" t="s">
        <v>36</v>
      </c>
      <c r="E286" s="23">
        <v>234773</v>
      </c>
      <c r="F286" s="20">
        <v>50</v>
      </c>
      <c r="G286" s="31">
        <v>1498</v>
      </c>
      <c r="H286" s="16">
        <v>14685.659999999989</v>
      </c>
      <c r="I286" s="20">
        <v>29.96</v>
      </c>
      <c r="J286" s="18"/>
      <c r="K286" s="18"/>
      <c r="L286" s="18"/>
      <c r="M286" s="32"/>
    </row>
    <row r="287" spans="1:13" s="22" customFormat="1" ht="24" customHeight="1" thickBot="1">
      <c r="A287" s="21">
        <v>46046</v>
      </c>
      <c r="B287" s="25" t="s">
        <v>42</v>
      </c>
      <c r="C287" s="25" t="s">
        <v>32</v>
      </c>
      <c r="D287" s="22" t="s">
        <v>34</v>
      </c>
      <c r="E287" s="23">
        <v>273749</v>
      </c>
      <c r="F287" s="20">
        <v>50</v>
      </c>
      <c r="G287" s="31">
        <v>1498</v>
      </c>
      <c r="H287" s="16">
        <v>13187.659999999989</v>
      </c>
      <c r="I287" s="20">
        <v>29.96</v>
      </c>
      <c r="J287" s="18"/>
      <c r="K287" s="18"/>
      <c r="L287" s="18"/>
      <c r="M287" s="32"/>
    </row>
    <row r="288" spans="1:13" s="22" customFormat="1" ht="24" customHeight="1" thickBot="1">
      <c r="A288" s="21">
        <v>46046</v>
      </c>
      <c r="B288" s="25" t="s">
        <v>50</v>
      </c>
      <c r="C288" s="25" t="s">
        <v>5</v>
      </c>
      <c r="D288" s="22" t="s">
        <v>36</v>
      </c>
      <c r="E288" s="23">
        <v>195578</v>
      </c>
      <c r="F288" s="20">
        <v>50</v>
      </c>
      <c r="G288" s="40">
        <v>1498</v>
      </c>
      <c r="H288" s="16">
        <v>11689.659999999989</v>
      </c>
      <c r="I288" s="20">
        <v>29.96</v>
      </c>
      <c r="J288" s="18"/>
      <c r="K288" s="18"/>
      <c r="L288" s="18"/>
      <c r="M288" s="32"/>
    </row>
    <row r="289" spans="1:13" s="34" customFormat="1" ht="24" customHeight="1" thickBot="1">
      <c r="A289" s="33">
        <v>46046</v>
      </c>
      <c r="B289" s="34" t="s">
        <v>41</v>
      </c>
      <c r="C289" s="34" t="s">
        <v>9</v>
      </c>
      <c r="D289" s="34" t="s">
        <v>34</v>
      </c>
      <c r="E289" s="35" t="s">
        <v>20</v>
      </c>
      <c r="F289" s="20">
        <v>59.999999999999993</v>
      </c>
      <c r="G289" s="36">
        <v>1797.6</v>
      </c>
      <c r="H289" s="16">
        <v>9892.0599999999886</v>
      </c>
      <c r="I289" s="37">
        <v>29.96</v>
      </c>
      <c r="J289" s="38"/>
      <c r="K289" s="38" t="s">
        <v>71</v>
      </c>
      <c r="L289" s="38"/>
      <c r="M289" s="39"/>
    </row>
    <row r="290" spans="1:13" s="22" customFormat="1" ht="24" customHeight="1" thickBot="1">
      <c r="A290" s="21">
        <v>46046</v>
      </c>
      <c r="B290" s="25" t="s">
        <v>48</v>
      </c>
      <c r="C290" s="25" t="s">
        <v>17</v>
      </c>
      <c r="D290" s="25" t="s">
        <v>34</v>
      </c>
      <c r="E290" s="41">
        <v>159011</v>
      </c>
      <c r="F290" s="20">
        <v>50</v>
      </c>
      <c r="G290" s="40">
        <v>1498</v>
      </c>
      <c r="H290" s="16">
        <v>8394.0599999999886</v>
      </c>
      <c r="I290" s="20">
        <v>29.96</v>
      </c>
      <c r="J290" s="18"/>
      <c r="K290" s="18"/>
      <c r="L290" s="18"/>
      <c r="M290" s="32"/>
    </row>
    <row r="291" spans="1:13" s="22" customFormat="1" ht="24" customHeight="1" thickBot="1">
      <c r="A291" s="21">
        <v>46046</v>
      </c>
      <c r="B291" s="22" t="s">
        <v>51</v>
      </c>
      <c r="C291" s="22" t="s">
        <v>3</v>
      </c>
      <c r="D291" s="22" t="s">
        <v>36</v>
      </c>
      <c r="E291" s="41">
        <v>304707</v>
      </c>
      <c r="F291" s="20">
        <v>50</v>
      </c>
      <c r="G291" s="31">
        <v>1498</v>
      </c>
      <c r="H291" s="16">
        <v>6896.0599999999886</v>
      </c>
      <c r="I291" s="20">
        <v>29.96</v>
      </c>
      <c r="J291" s="18"/>
      <c r="K291" s="18"/>
      <c r="L291" s="18"/>
      <c r="M291" s="32"/>
    </row>
    <row r="292" spans="1:13" s="22" customFormat="1" ht="24" customHeight="1" thickBot="1">
      <c r="A292" s="21">
        <v>46046</v>
      </c>
      <c r="B292" s="25" t="s">
        <v>49</v>
      </c>
      <c r="C292" s="25" t="s">
        <v>6</v>
      </c>
      <c r="D292" s="25" t="s">
        <v>34</v>
      </c>
      <c r="E292" s="41">
        <v>170438</v>
      </c>
      <c r="F292" s="20">
        <v>50</v>
      </c>
      <c r="G292" s="40">
        <v>1498</v>
      </c>
      <c r="H292" s="16">
        <v>5398.0599999999886</v>
      </c>
      <c r="I292" s="20">
        <v>29.96</v>
      </c>
      <c r="J292" s="18"/>
      <c r="K292" s="18"/>
      <c r="L292" s="18"/>
      <c r="M292" s="32"/>
    </row>
    <row r="293" spans="1:13" s="22" customFormat="1" ht="24" customHeight="1" thickBot="1">
      <c r="A293" s="21">
        <v>46046</v>
      </c>
      <c r="B293" s="22" t="s">
        <v>60</v>
      </c>
      <c r="C293" s="22" t="s">
        <v>2</v>
      </c>
      <c r="D293" s="22" t="s">
        <v>36</v>
      </c>
      <c r="E293" s="23">
        <v>147971</v>
      </c>
      <c r="F293" s="20">
        <v>50</v>
      </c>
      <c r="G293" s="31">
        <v>1498</v>
      </c>
      <c r="H293" s="16">
        <v>3900.0599999999886</v>
      </c>
      <c r="I293" s="20">
        <v>29.96</v>
      </c>
      <c r="J293" s="18"/>
      <c r="K293" s="18"/>
      <c r="L293" s="18"/>
      <c r="M293" s="32"/>
    </row>
    <row r="294" spans="1:13" s="22" customFormat="1" ht="24" customHeight="1" thickBot="1">
      <c r="A294" s="21">
        <v>46046</v>
      </c>
      <c r="B294" s="22" t="s">
        <v>57</v>
      </c>
      <c r="C294" s="22" t="s">
        <v>12</v>
      </c>
      <c r="D294" s="22" t="s">
        <v>35</v>
      </c>
      <c r="E294" s="42">
        <v>169567</v>
      </c>
      <c r="F294" s="20">
        <v>50</v>
      </c>
      <c r="G294" s="31">
        <v>1498</v>
      </c>
      <c r="H294" s="16">
        <v>2402.0599999999886</v>
      </c>
      <c r="I294" s="20">
        <v>29.96</v>
      </c>
      <c r="J294" s="18"/>
      <c r="K294" s="18"/>
      <c r="L294" s="18"/>
      <c r="M294" s="32"/>
    </row>
    <row r="295" spans="1:13" s="22" customFormat="1" ht="24" customHeight="1" thickBot="1">
      <c r="A295" s="21">
        <v>46046</v>
      </c>
      <c r="B295" s="22" t="s">
        <v>39</v>
      </c>
      <c r="C295" s="22" t="s">
        <v>64</v>
      </c>
      <c r="D295" s="22" t="s">
        <v>35</v>
      </c>
      <c r="E295" s="41" t="s">
        <v>20</v>
      </c>
      <c r="F295" s="20">
        <v>41.722296395193588</v>
      </c>
      <c r="G295" s="31">
        <v>1250</v>
      </c>
      <c r="H295" s="16">
        <v>1152.0599999999886</v>
      </c>
      <c r="I295" s="20">
        <v>29.96</v>
      </c>
      <c r="J295" s="18"/>
      <c r="K295" s="18"/>
      <c r="L295" s="18"/>
      <c r="M295" s="32"/>
    </row>
    <row r="296" spans="1:13" s="22" customFormat="1" ht="24" customHeight="1" thickBot="1">
      <c r="A296" s="21">
        <v>46047</v>
      </c>
      <c r="B296" s="25" t="s">
        <v>42</v>
      </c>
      <c r="C296" s="25" t="s">
        <v>32</v>
      </c>
      <c r="D296" s="22" t="s">
        <v>34</v>
      </c>
      <c r="E296" s="23">
        <v>273827</v>
      </c>
      <c r="F296" s="20">
        <v>50</v>
      </c>
      <c r="G296" s="31">
        <v>1498</v>
      </c>
      <c r="H296" s="16">
        <v>-345.94000000001142</v>
      </c>
      <c r="I296" s="20">
        <v>29.96</v>
      </c>
      <c r="J296" s="18"/>
      <c r="K296" s="18"/>
      <c r="L296" s="18"/>
      <c r="M296" s="32"/>
    </row>
    <row r="297" spans="1:13" s="22" customFormat="1" ht="24" customHeight="1" thickBot="1">
      <c r="A297" s="21">
        <v>46047</v>
      </c>
      <c r="B297" s="22" t="s">
        <v>52</v>
      </c>
      <c r="C297" s="22" t="s">
        <v>4</v>
      </c>
      <c r="D297" s="22" t="s">
        <v>34</v>
      </c>
      <c r="E297" s="23">
        <v>173045</v>
      </c>
      <c r="F297" s="20">
        <v>50</v>
      </c>
      <c r="G297" s="31">
        <v>1498</v>
      </c>
      <c r="H297" s="16">
        <v>-1843.9400000000114</v>
      </c>
      <c r="I297" s="20">
        <v>29.96</v>
      </c>
      <c r="J297" s="18"/>
      <c r="K297" s="18"/>
      <c r="L297" s="18"/>
      <c r="M297" s="32"/>
    </row>
    <row r="298" spans="1:13" s="22" customFormat="1" ht="24" customHeight="1" thickBot="1">
      <c r="A298" s="21">
        <v>46048</v>
      </c>
      <c r="B298" s="25" t="s">
        <v>42</v>
      </c>
      <c r="C298" s="25" t="s">
        <v>32</v>
      </c>
      <c r="D298" s="25" t="s">
        <v>35</v>
      </c>
      <c r="E298" s="30">
        <v>273933</v>
      </c>
      <c r="F298" s="20">
        <v>50</v>
      </c>
      <c r="G298" s="31">
        <v>1498</v>
      </c>
      <c r="H298" s="16">
        <v>-3341.9400000000114</v>
      </c>
      <c r="I298" s="20">
        <v>29.96</v>
      </c>
      <c r="J298" s="18"/>
      <c r="K298" s="18"/>
      <c r="L298" s="18"/>
      <c r="M298" s="32"/>
    </row>
    <row r="299" spans="1:13" s="22" customFormat="1" ht="24" customHeight="1" thickBot="1">
      <c r="A299" s="21">
        <v>46048</v>
      </c>
      <c r="B299" s="25" t="s">
        <v>48</v>
      </c>
      <c r="C299" s="25" t="s">
        <v>17</v>
      </c>
      <c r="D299" s="22" t="s">
        <v>36</v>
      </c>
      <c r="E299" s="30">
        <v>159236</v>
      </c>
      <c r="F299" s="20">
        <v>50</v>
      </c>
      <c r="G299" s="40">
        <v>1498</v>
      </c>
      <c r="H299" s="16">
        <v>-4839.9400000000114</v>
      </c>
      <c r="I299" s="20">
        <v>29.96</v>
      </c>
      <c r="J299" s="18"/>
      <c r="K299" s="18"/>
      <c r="L299" s="18"/>
      <c r="M299" s="32"/>
    </row>
    <row r="300" spans="1:13" s="22" customFormat="1" ht="24" customHeight="1" thickBot="1">
      <c r="A300" s="21">
        <v>46048</v>
      </c>
      <c r="B300" s="25" t="s">
        <v>59</v>
      </c>
      <c r="C300" s="25" t="s">
        <v>11</v>
      </c>
      <c r="D300" s="25" t="s">
        <v>36</v>
      </c>
      <c r="E300" s="30">
        <v>235074</v>
      </c>
      <c r="F300" s="20">
        <v>50</v>
      </c>
      <c r="G300" s="31">
        <v>1498</v>
      </c>
      <c r="H300" s="16">
        <v>-6337.9400000000114</v>
      </c>
      <c r="I300" s="20">
        <v>29.96</v>
      </c>
      <c r="J300" s="18"/>
      <c r="K300" s="18"/>
      <c r="L300" s="18"/>
      <c r="M300" s="32"/>
    </row>
    <row r="301" spans="1:13" s="22" customFormat="1" ht="24" customHeight="1" thickBot="1">
      <c r="A301" s="21">
        <v>46048</v>
      </c>
      <c r="B301" s="22" t="s">
        <v>46</v>
      </c>
      <c r="C301" s="25" t="s">
        <v>47</v>
      </c>
      <c r="D301" s="22" t="s">
        <v>35</v>
      </c>
      <c r="E301" s="30">
        <v>237414</v>
      </c>
      <c r="F301" s="20">
        <v>137.51668891855806</v>
      </c>
      <c r="G301" s="31">
        <v>4120</v>
      </c>
      <c r="H301" s="16">
        <v>-10457.940000000011</v>
      </c>
      <c r="I301" s="20">
        <v>29.96</v>
      </c>
      <c r="J301" s="18"/>
      <c r="K301" s="18"/>
      <c r="L301" s="18"/>
      <c r="M301" s="32"/>
    </row>
    <row r="302" spans="1:13" s="22" customFormat="1" ht="24" customHeight="1" thickBot="1">
      <c r="A302" s="21">
        <v>46048</v>
      </c>
      <c r="B302" s="25" t="s">
        <v>49</v>
      </c>
      <c r="C302" s="25" t="s">
        <v>6</v>
      </c>
      <c r="D302" s="22" t="s">
        <v>36</v>
      </c>
      <c r="E302" s="30">
        <v>170636</v>
      </c>
      <c r="F302" s="20">
        <v>50</v>
      </c>
      <c r="G302" s="40">
        <v>1498</v>
      </c>
      <c r="H302" s="16">
        <v>-11955.940000000011</v>
      </c>
      <c r="I302" s="20">
        <v>29.96</v>
      </c>
      <c r="J302" s="18"/>
      <c r="K302" s="18"/>
      <c r="L302" s="18"/>
      <c r="M302" s="32"/>
    </row>
    <row r="303" spans="1:13" s="22" customFormat="1" ht="24" customHeight="1" thickBot="1">
      <c r="A303" s="21">
        <v>46048</v>
      </c>
      <c r="B303" s="25" t="s">
        <v>43</v>
      </c>
      <c r="C303" s="25" t="s">
        <v>1</v>
      </c>
      <c r="D303" s="25" t="s">
        <v>36</v>
      </c>
      <c r="E303" s="30">
        <v>171813</v>
      </c>
      <c r="F303" s="20">
        <v>90</v>
      </c>
      <c r="G303" s="31">
        <v>2696.4</v>
      </c>
      <c r="H303" s="16">
        <v>-14652.340000000011</v>
      </c>
      <c r="I303" s="20">
        <v>29.96</v>
      </c>
      <c r="J303" s="18"/>
      <c r="K303" s="18"/>
      <c r="L303" s="18"/>
      <c r="M303" s="32"/>
    </row>
    <row r="304" spans="1:13" s="22" customFormat="1" ht="24" customHeight="1" thickBot="1">
      <c r="A304" s="21">
        <v>46048</v>
      </c>
      <c r="B304" s="22" t="s">
        <v>63</v>
      </c>
      <c r="C304" s="22" t="s">
        <v>12</v>
      </c>
      <c r="D304" s="22" t="s">
        <v>36</v>
      </c>
      <c r="E304" s="23">
        <v>252125</v>
      </c>
      <c r="F304" s="20">
        <v>50</v>
      </c>
      <c r="G304" s="31">
        <v>1498</v>
      </c>
      <c r="H304" s="16">
        <v>-16150.340000000011</v>
      </c>
      <c r="I304" s="20">
        <v>29.96</v>
      </c>
      <c r="J304" s="18"/>
      <c r="K304" s="18"/>
      <c r="L304" s="18"/>
      <c r="M304" s="32"/>
    </row>
    <row r="305" spans="1:13" s="22" customFormat="1" ht="24" customHeight="1" thickBot="1">
      <c r="A305" s="21">
        <v>46048</v>
      </c>
      <c r="B305" s="22" t="s">
        <v>54</v>
      </c>
      <c r="C305" s="22" t="s">
        <v>16</v>
      </c>
      <c r="D305" s="22" t="s">
        <v>36</v>
      </c>
      <c r="E305" s="23">
        <v>234911</v>
      </c>
      <c r="F305" s="20">
        <v>50</v>
      </c>
      <c r="G305" s="31">
        <v>1498</v>
      </c>
      <c r="H305" s="16">
        <v>-17648.340000000011</v>
      </c>
      <c r="I305" s="20">
        <v>29.96</v>
      </c>
      <c r="J305" s="18"/>
      <c r="K305" s="18"/>
      <c r="L305" s="18"/>
      <c r="M305" s="32"/>
    </row>
    <row r="306" spans="1:13" s="22" customFormat="1" ht="24" customHeight="1" thickBot="1">
      <c r="A306" s="21">
        <v>46048</v>
      </c>
      <c r="B306" s="22" t="s">
        <v>55</v>
      </c>
      <c r="C306" s="22" t="s">
        <v>15</v>
      </c>
      <c r="D306" s="22" t="s">
        <v>34</v>
      </c>
      <c r="E306" s="23">
        <v>280094</v>
      </c>
      <c r="F306" s="20">
        <v>50</v>
      </c>
      <c r="G306" s="31">
        <v>1498</v>
      </c>
      <c r="H306" s="16">
        <v>-19146.340000000011</v>
      </c>
      <c r="I306" s="20">
        <v>29.96</v>
      </c>
      <c r="J306" s="18"/>
      <c r="K306" s="18"/>
      <c r="L306" s="18"/>
      <c r="M306" s="32"/>
    </row>
    <row r="307" spans="1:13" s="22" customFormat="1" ht="24" customHeight="1" thickBot="1">
      <c r="A307" s="21">
        <v>46048</v>
      </c>
      <c r="B307" s="25" t="s">
        <v>50</v>
      </c>
      <c r="C307" s="25" t="s">
        <v>5</v>
      </c>
      <c r="D307" s="22" t="s">
        <v>34</v>
      </c>
      <c r="E307" s="23">
        <v>195694</v>
      </c>
      <c r="F307" s="20">
        <v>50</v>
      </c>
      <c r="G307" s="31">
        <v>1498</v>
      </c>
      <c r="H307" s="16">
        <v>-20644.340000000011</v>
      </c>
      <c r="I307" s="20">
        <v>29.96</v>
      </c>
      <c r="J307" s="18"/>
      <c r="K307" s="18"/>
      <c r="L307" s="18"/>
      <c r="M307" s="32"/>
    </row>
    <row r="308" spans="1:13" s="22" customFormat="1" ht="24" customHeight="1" thickBot="1">
      <c r="A308" s="21">
        <v>46048</v>
      </c>
      <c r="B308" s="22" t="s">
        <v>53</v>
      </c>
      <c r="C308" s="22" t="s">
        <v>10</v>
      </c>
      <c r="D308" s="22" t="s">
        <v>34</v>
      </c>
      <c r="E308" s="30">
        <v>295036</v>
      </c>
      <c r="F308" s="20">
        <v>50</v>
      </c>
      <c r="G308" s="31">
        <v>1498</v>
      </c>
      <c r="H308" s="16">
        <v>-22142.340000000011</v>
      </c>
      <c r="I308" s="20">
        <v>29.96</v>
      </c>
      <c r="J308" s="18"/>
      <c r="K308" s="18"/>
      <c r="L308" s="18"/>
      <c r="M308" s="32"/>
    </row>
    <row r="309" spans="1:13" s="22" customFormat="1" ht="24" customHeight="1" thickBot="1">
      <c r="A309" s="21">
        <v>46048</v>
      </c>
      <c r="B309" s="22" t="s">
        <v>60</v>
      </c>
      <c r="C309" s="22" t="s">
        <v>2</v>
      </c>
      <c r="D309" s="22" t="s">
        <v>36</v>
      </c>
      <c r="E309" s="23">
        <v>148079</v>
      </c>
      <c r="F309" s="20">
        <v>50</v>
      </c>
      <c r="G309" s="31">
        <v>1498</v>
      </c>
      <c r="H309" s="16">
        <v>-23640.340000000011</v>
      </c>
      <c r="I309" s="20">
        <v>29.96</v>
      </c>
      <c r="J309" s="18"/>
      <c r="K309" s="18"/>
      <c r="L309" s="18"/>
      <c r="M309" s="32"/>
    </row>
    <row r="310" spans="1:13" s="34" customFormat="1" ht="24" customHeight="1" thickBot="1">
      <c r="A310" s="33">
        <v>46048</v>
      </c>
      <c r="B310" s="34" t="s">
        <v>41</v>
      </c>
      <c r="C310" s="34" t="s">
        <v>9</v>
      </c>
      <c r="D310" s="34" t="s">
        <v>34</v>
      </c>
      <c r="E310" s="35" t="s">
        <v>20</v>
      </c>
      <c r="F310" s="37">
        <v>59.999999999999993</v>
      </c>
      <c r="G310" s="36">
        <v>1797.6</v>
      </c>
      <c r="H310" s="16">
        <v>-25437.94000000001</v>
      </c>
      <c r="I310" s="37">
        <v>29.96</v>
      </c>
      <c r="J310" s="38"/>
      <c r="K310" s="38" t="s">
        <v>71</v>
      </c>
      <c r="L310" s="38"/>
      <c r="M310" s="39"/>
    </row>
    <row r="311" spans="1:13" s="22" customFormat="1" ht="24" customHeight="1" thickBot="1">
      <c r="A311" s="21">
        <v>46048</v>
      </c>
      <c r="B311" s="22" t="s">
        <v>45</v>
      </c>
      <c r="C311" s="22" t="s">
        <v>7</v>
      </c>
      <c r="D311" s="22" t="s">
        <v>34</v>
      </c>
      <c r="E311" s="23">
        <v>174841</v>
      </c>
      <c r="F311" s="20">
        <v>180</v>
      </c>
      <c r="G311" s="31">
        <v>5392.8</v>
      </c>
      <c r="H311" s="16">
        <v>-30830.740000000009</v>
      </c>
      <c r="I311" s="20">
        <v>29.96</v>
      </c>
      <c r="J311" s="18"/>
      <c r="K311" s="18"/>
      <c r="L311" s="18"/>
      <c r="M311" s="32"/>
    </row>
    <row r="312" spans="1:13" s="22" customFormat="1" ht="24" customHeight="1" thickBot="1">
      <c r="A312" s="21">
        <v>46048</v>
      </c>
      <c r="B312" s="22" t="s">
        <v>52</v>
      </c>
      <c r="C312" s="22" t="s">
        <v>4</v>
      </c>
      <c r="D312" s="22" t="s">
        <v>34</v>
      </c>
      <c r="E312" s="23">
        <v>173189</v>
      </c>
      <c r="F312" s="20">
        <v>50</v>
      </c>
      <c r="G312" s="31">
        <v>1498</v>
      </c>
      <c r="H312" s="16">
        <v>-32328.740000000009</v>
      </c>
      <c r="I312" s="20">
        <v>29.96</v>
      </c>
      <c r="J312" s="18"/>
      <c r="K312" s="18"/>
      <c r="L312" s="18"/>
      <c r="M312" s="32"/>
    </row>
    <row r="313" spans="1:13" s="22" customFormat="1" ht="24" customHeight="1" thickBot="1">
      <c r="A313" s="21">
        <v>46049</v>
      </c>
      <c r="B313" s="22" t="s">
        <v>59</v>
      </c>
      <c r="C313" s="22" t="s">
        <v>11</v>
      </c>
      <c r="D313" s="22" t="s">
        <v>35</v>
      </c>
      <c r="E313" s="23">
        <v>235200</v>
      </c>
      <c r="F313" s="20">
        <v>50</v>
      </c>
      <c r="G313" s="31">
        <v>1498</v>
      </c>
      <c r="H313" s="16">
        <v>-33826.740000000005</v>
      </c>
      <c r="I313" s="20">
        <v>29.96</v>
      </c>
      <c r="J313" s="18"/>
      <c r="K313" s="18"/>
      <c r="L313" s="18"/>
      <c r="M313" s="32"/>
    </row>
    <row r="314" spans="1:13" s="22" customFormat="1" ht="24" customHeight="1" thickBot="1">
      <c r="A314" s="21">
        <v>46049</v>
      </c>
      <c r="B314" s="25" t="s">
        <v>54</v>
      </c>
      <c r="C314" s="25" t="s">
        <v>16</v>
      </c>
      <c r="D314" s="22" t="s">
        <v>36</v>
      </c>
      <c r="E314" s="23">
        <v>235041</v>
      </c>
      <c r="F314" s="20">
        <v>50</v>
      </c>
      <c r="G314" s="31">
        <v>1498</v>
      </c>
      <c r="H314" s="16">
        <v>-35324.740000000005</v>
      </c>
      <c r="I314" s="20">
        <v>29.96</v>
      </c>
      <c r="J314" s="18"/>
      <c r="K314" s="18"/>
      <c r="L314" s="18"/>
      <c r="M314" s="32"/>
    </row>
    <row r="315" spans="1:13" s="22" customFormat="1" ht="24" customHeight="1" thickBot="1">
      <c r="A315" s="21">
        <v>46049</v>
      </c>
      <c r="B315" s="25" t="s">
        <v>43</v>
      </c>
      <c r="C315" s="25" t="s">
        <v>1</v>
      </c>
      <c r="D315" s="25" t="s">
        <v>36</v>
      </c>
      <c r="E315" s="23">
        <v>172105</v>
      </c>
      <c r="F315" s="20">
        <v>90</v>
      </c>
      <c r="G315" s="40">
        <v>2696.4</v>
      </c>
      <c r="H315" s="16">
        <v>-38021.140000000007</v>
      </c>
      <c r="I315" s="20">
        <v>29.96</v>
      </c>
      <c r="J315" s="18"/>
      <c r="K315" s="18"/>
      <c r="L315" s="18"/>
      <c r="M315" s="32"/>
    </row>
    <row r="316" spans="1:13" s="22" customFormat="1" ht="24" customHeight="1" thickBot="1">
      <c r="A316" s="21">
        <v>46049</v>
      </c>
      <c r="B316" s="22" t="s">
        <v>51</v>
      </c>
      <c r="C316" s="22" t="s">
        <v>3</v>
      </c>
      <c r="D316" s="22" t="s">
        <v>34</v>
      </c>
      <c r="E316" s="23">
        <v>304801</v>
      </c>
      <c r="F316" s="20">
        <v>50</v>
      </c>
      <c r="G316" s="31">
        <v>1498</v>
      </c>
      <c r="H316" s="16">
        <v>-39519.140000000007</v>
      </c>
      <c r="I316" s="20">
        <v>29.96</v>
      </c>
      <c r="J316" s="18"/>
      <c r="K316" s="18"/>
      <c r="L316" s="18"/>
      <c r="M316" s="32"/>
    </row>
    <row r="317" spans="1:13" s="22" customFormat="1" ht="24" hidden="1" customHeight="1" thickBot="1">
      <c r="A317" s="21">
        <v>46049</v>
      </c>
      <c r="B317" s="26" t="s">
        <v>20</v>
      </c>
      <c r="C317" s="26" t="s">
        <v>20</v>
      </c>
      <c r="D317" s="26" t="s">
        <v>20</v>
      </c>
      <c r="E317" s="27" t="s">
        <v>65</v>
      </c>
      <c r="F317" s="20" t="s">
        <v>20</v>
      </c>
      <c r="G317" s="31">
        <v>-40000</v>
      </c>
      <c r="H317" s="16">
        <v>480.85999999999331</v>
      </c>
      <c r="I317" s="20">
        <v>29.96</v>
      </c>
      <c r="J317" s="28" t="s">
        <v>81</v>
      </c>
      <c r="K317" s="18"/>
      <c r="L317" s="18"/>
      <c r="M317" s="32"/>
    </row>
    <row r="318" spans="1:13" s="22" customFormat="1" ht="24" hidden="1" customHeight="1" thickBot="1">
      <c r="A318" s="21">
        <v>46049</v>
      </c>
      <c r="B318" s="26" t="s">
        <v>20</v>
      </c>
      <c r="C318" s="26" t="s">
        <v>20</v>
      </c>
      <c r="D318" s="26" t="s">
        <v>20</v>
      </c>
      <c r="E318" s="27" t="s">
        <v>65</v>
      </c>
      <c r="F318" s="20" t="s">
        <v>20</v>
      </c>
      <c r="G318" s="31">
        <v>-40000</v>
      </c>
      <c r="H318" s="16">
        <v>40480.859999999993</v>
      </c>
      <c r="I318" s="20">
        <v>29.96</v>
      </c>
      <c r="J318" s="18"/>
      <c r="K318" s="18"/>
      <c r="L318" s="18"/>
      <c r="M318" s="32"/>
    </row>
    <row r="319" spans="1:13" s="22" customFormat="1" ht="24" customHeight="1" thickBot="1">
      <c r="A319" s="21">
        <v>46049</v>
      </c>
      <c r="B319" s="25" t="s">
        <v>41</v>
      </c>
      <c r="C319" s="25" t="s">
        <v>9</v>
      </c>
      <c r="D319" s="22" t="s">
        <v>35</v>
      </c>
      <c r="E319" s="23">
        <v>921148</v>
      </c>
      <c r="F319" s="20">
        <v>59.999999999999993</v>
      </c>
      <c r="G319" s="40">
        <v>1797.6</v>
      </c>
      <c r="H319" s="16">
        <v>38683.259999999995</v>
      </c>
      <c r="I319" s="20">
        <v>29.96</v>
      </c>
      <c r="J319" s="18"/>
      <c r="K319" s="18"/>
      <c r="L319" s="18"/>
      <c r="M319" s="32"/>
    </row>
    <row r="320" spans="1:13" s="22" customFormat="1" ht="24" customHeight="1" thickBot="1">
      <c r="A320" s="21">
        <v>46049</v>
      </c>
      <c r="B320" s="22" t="s">
        <v>55</v>
      </c>
      <c r="C320" s="22" t="s">
        <v>15</v>
      </c>
      <c r="D320" s="25" t="s">
        <v>35</v>
      </c>
      <c r="E320" s="23">
        <v>280277</v>
      </c>
      <c r="F320" s="20">
        <v>50</v>
      </c>
      <c r="G320" s="31">
        <v>1498</v>
      </c>
      <c r="H320" s="16">
        <v>37185.259999999995</v>
      </c>
      <c r="I320" s="20">
        <v>29.96</v>
      </c>
      <c r="J320" s="18"/>
      <c r="K320" s="18"/>
      <c r="L320" s="18"/>
      <c r="M320" s="32"/>
    </row>
    <row r="321" spans="1:13" s="22" customFormat="1" ht="24" customHeight="1" thickBot="1">
      <c r="A321" s="21">
        <v>46049</v>
      </c>
      <c r="B321" s="22" t="s">
        <v>50</v>
      </c>
      <c r="C321" s="22" t="s">
        <v>5</v>
      </c>
      <c r="D321" s="22" t="s">
        <v>36</v>
      </c>
      <c r="E321" s="23">
        <v>195861</v>
      </c>
      <c r="F321" s="20">
        <v>50</v>
      </c>
      <c r="G321" s="31">
        <v>1498</v>
      </c>
      <c r="H321" s="16">
        <v>35687.259999999995</v>
      </c>
      <c r="I321" s="20">
        <v>29.96</v>
      </c>
      <c r="J321" s="18"/>
      <c r="K321" s="18"/>
      <c r="L321" s="18"/>
      <c r="M321" s="32"/>
    </row>
    <row r="322" spans="1:13" s="22" customFormat="1" ht="24" customHeight="1" thickBot="1">
      <c r="A322" s="21">
        <v>46049</v>
      </c>
      <c r="B322" s="22" t="s">
        <v>56</v>
      </c>
      <c r="C322" s="22" t="s">
        <v>62</v>
      </c>
      <c r="D322" s="22" t="s">
        <v>34</v>
      </c>
      <c r="E322" s="23">
        <v>294503</v>
      </c>
      <c r="F322" s="20">
        <v>168.99866488651534</v>
      </c>
      <c r="G322" s="31">
        <v>5063.2</v>
      </c>
      <c r="H322" s="16">
        <v>30624.059999999994</v>
      </c>
      <c r="I322" s="20">
        <v>29.96</v>
      </c>
      <c r="J322" s="18"/>
      <c r="K322" s="18"/>
      <c r="L322" s="18"/>
      <c r="M322" s="32"/>
    </row>
    <row r="323" spans="1:13" s="22" customFormat="1" ht="24" customHeight="1" thickBot="1">
      <c r="A323" s="21">
        <v>46049</v>
      </c>
      <c r="B323" s="25" t="s">
        <v>48</v>
      </c>
      <c r="C323" s="25" t="s">
        <v>17</v>
      </c>
      <c r="D323" s="22" t="s">
        <v>36</v>
      </c>
      <c r="E323" s="23">
        <v>159314</v>
      </c>
      <c r="F323" s="20">
        <v>50</v>
      </c>
      <c r="G323" s="31">
        <v>1498</v>
      </c>
      <c r="H323" s="16">
        <v>29126.059999999994</v>
      </c>
      <c r="I323" s="20">
        <v>29.96</v>
      </c>
      <c r="J323" s="18"/>
      <c r="K323" s="18"/>
      <c r="L323" s="18"/>
      <c r="M323" s="32"/>
    </row>
    <row r="324" spans="1:13" s="22" customFormat="1" ht="24" customHeight="1" thickBot="1">
      <c r="A324" s="21">
        <v>46049</v>
      </c>
      <c r="B324" s="22" t="s">
        <v>53</v>
      </c>
      <c r="C324" s="22" t="s">
        <v>10</v>
      </c>
      <c r="D324" s="22" t="s">
        <v>34</v>
      </c>
      <c r="E324" s="30">
        <v>295216</v>
      </c>
      <c r="F324" s="20">
        <v>50</v>
      </c>
      <c r="G324" s="31">
        <v>1498</v>
      </c>
      <c r="H324" s="16">
        <v>27628.059999999994</v>
      </c>
      <c r="I324" s="20">
        <v>29.96</v>
      </c>
      <c r="J324" s="18"/>
      <c r="K324" s="18"/>
      <c r="L324" s="18"/>
      <c r="M324" s="32"/>
    </row>
    <row r="325" spans="1:13" s="22" customFormat="1" ht="24" customHeight="1" thickBot="1">
      <c r="A325" s="21">
        <v>46049</v>
      </c>
      <c r="B325" s="22" t="s">
        <v>60</v>
      </c>
      <c r="C325" s="22" t="s">
        <v>2</v>
      </c>
      <c r="D325" s="25" t="s">
        <v>35</v>
      </c>
      <c r="E325" s="23">
        <v>148272</v>
      </c>
      <c r="F325" s="20">
        <v>50</v>
      </c>
      <c r="G325" s="31">
        <v>1498</v>
      </c>
      <c r="H325" s="16">
        <v>26130.059999999994</v>
      </c>
      <c r="I325" s="20">
        <v>29.96</v>
      </c>
      <c r="J325" s="18"/>
      <c r="K325" s="18"/>
      <c r="L325" s="18"/>
      <c r="M325" s="32"/>
    </row>
    <row r="326" spans="1:13" s="22" customFormat="1" ht="24" customHeight="1" thickBot="1">
      <c r="A326" s="21">
        <v>46049</v>
      </c>
      <c r="B326" s="22" t="s">
        <v>63</v>
      </c>
      <c r="C326" s="22" t="s">
        <v>12</v>
      </c>
      <c r="D326" s="22" t="s">
        <v>34</v>
      </c>
      <c r="E326" s="23">
        <v>252229</v>
      </c>
      <c r="F326" s="20">
        <v>50</v>
      </c>
      <c r="G326" s="31">
        <v>1498</v>
      </c>
      <c r="H326" s="16">
        <v>24632.059999999994</v>
      </c>
      <c r="I326" s="20">
        <v>29.96</v>
      </c>
      <c r="J326" s="18"/>
      <c r="K326" s="18"/>
      <c r="L326" s="18"/>
      <c r="M326" s="32"/>
    </row>
    <row r="327" spans="1:13" s="22" customFormat="1" ht="24" customHeight="1" thickBot="1">
      <c r="A327" s="21">
        <v>46050</v>
      </c>
      <c r="B327" s="25" t="s">
        <v>42</v>
      </c>
      <c r="C327" s="25" t="s">
        <v>32</v>
      </c>
      <c r="D327" s="22" t="s">
        <v>34</v>
      </c>
      <c r="E327" s="23">
        <v>274136</v>
      </c>
      <c r="F327" s="20">
        <v>50</v>
      </c>
      <c r="G327" s="31">
        <v>1498</v>
      </c>
      <c r="H327" s="16">
        <v>23134.059999999994</v>
      </c>
      <c r="I327" s="20">
        <v>29.96</v>
      </c>
      <c r="J327" s="18"/>
      <c r="K327" s="18"/>
      <c r="L327" s="18"/>
      <c r="M327" s="32"/>
    </row>
    <row r="328" spans="1:13" s="22" customFormat="1" ht="24" customHeight="1" thickBot="1">
      <c r="A328" s="21">
        <v>46050</v>
      </c>
      <c r="B328" s="25" t="s">
        <v>43</v>
      </c>
      <c r="C328" s="25" t="s">
        <v>1</v>
      </c>
      <c r="D328" s="22" t="s">
        <v>34</v>
      </c>
      <c r="E328" s="23">
        <v>172391</v>
      </c>
      <c r="F328" s="20">
        <v>90</v>
      </c>
      <c r="G328" s="40">
        <v>2696.4</v>
      </c>
      <c r="H328" s="16">
        <v>20437.659999999993</v>
      </c>
      <c r="I328" s="20">
        <v>29.96</v>
      </c>
      <c r="J328" s="18"/>
      <c r="K328" s="18"/>
      <c r="L328" s="18"/>
      <c r="M328" s="32"/>
    </row>
    <row r="329" spans="1:13" s="22" customFormat="1" ht="24" customHeight="1" thickBot="1">
      <c r="A329" s="21">
        <v>46050</v>
      </c>
      <c r="B329" s="22" t="s">
        <v>55</v>
      </c>
      <c r="C329" s="22" t="s">
        <v>15</v>
      </c>
      <c r="D329" s="22" t="s">
        <v>36</v>
      </c>
      <c r="E329" s="23">
        <v>280439</v>
      </c>
      <c r="F329" s="20">
        <v>50</v>
      </c>
      <c r="G329" s="31">
        <v>1498</v>
      </c>
      <c r="H329" s="16">
        <v>18939.659999999993</v>
      </c>
      <c r="I329" s="20">
        <v>29.96</v>
      </c>
      <c r="J329" s="18"/>
      <c r="K329" s="18"/>
      <c r="L329" s="18"/>
      <c r="M329" s="32"/>
    </row>
    <row r="330" spans="1:13" s="22" customFormat="1" ht="24" customHeight="1" thickBot="1">
      <c r="A330" s="21">
        <v>46050</v>
      </c>
      <c r="B330" s="22" t="s">
        <v>54</v>
      </c>
      <c r="C330" s="22" t="s">
        <v>16</v>
      </c>
      <c r="D330" s="22" t="s">
        <v>36</v>
      </c>
      <c r="E330" s="23">
        <v>235169</v>
      </c>
      <c r="F330" s="20">
        <v>50</v>
      </c>
      <c r="G330" s="31">
        <v>1498</v>
      </c>
      <c r="H330" s="16">
        <v>17441.659999999993</v>
      </c>
      <c r="I330" s="20">
        <v>29.96</v>
      </c>
      <c r="J330" s="18"/>
      <c r="K330" s="18"/>
      <c r="L330" s="18"/>
      <c r="M330" s="32"/>
    </row>
    <row r="331" spans="1:13" s="22" customFormat="1" ht="24" customHeight="1" thickBot="1">
      <c r="A331" s="21">
        <v>46050</v>
      </c>
      <c r="B331" s="22" t="s">
        <v>52</v>
      </c>
      <c r="C331" s="22" t="s">
        <v>4</v>
      </c>
      <c r="D331" s="22" t="s">
        <v>34</v>
      </c>
      <c r="E331" s="23">
        <v>173333</v>
      </c>
      <c r="F331" s="20">
        <v>45</v>
      </c>
      <c r="G331" s="31">
        <v>1348.2</v>
      </c>
      <c r="H331" s="16">
        <v>16093.459999999992</v>
      </c>
      <c r="I331" s="20">
        <v>29.96</v>
      </c>
      <c r="J331" s="18"/>
      <c r="K331" s="18"/>
      <c r="L331" s="18"/>
      <c r="M331" s="32"/>
    </row>
    <row r="332" spans="1:13" s="22" customFormat="1" ht="24" customHeight="1" thickBot="1">
      <c r="A332" s="21">
        <v>46050</v>
      </c>
      <c r="B332" s="25" t="s">
        <v>49</v>
      </c>
      <c r="C332" s="25" t="s">
        <v>6</v>
      </c>
      <c r="D332" s="22" t="s">
        <v>35</v>
      </c>
      <c r="E332" s="23">
        <v>170744</v>
      </c>
      <c r="F332" s="20">
        <v>50</v>
      </c>
      <c r="G332" s="40">
        <v>1498</v>
      </c>
      <c r="H332" s="16">
        <v>14595.459999999992</v>
      </c>
      <c r="I332" s="20">
        <v>29.96</v>
      </c>
      <c r="J332" s="18"/>
      <c r="K332" s="18"/>
      <c r="L332" s="18"/>
      <c r="M332" s="32"/>
    </row>
    <row r="333" spans="1:13" s="22" customFormat="1" ht="24" customHeight="1" thickBot="1">
      <c r="A333" s="21">
        <v>46050</v>
      </c>
      <c r="B333" s="25" t="s">
        <v>42</v>
      </c>
      <c r="C333" s="25" t="s">
        <v>32</v>
      </c>
      <c r="D333" s="22" t="s">
        <v>36</v>
      </c>
      <c r="E333" s="23">
        <v>274147</v>
      </c>
      <c r="F333" s="20">
        <v>50</v>
      </c>
      <c r="G333" s="31">
        <v>1498</v>
      </c>
      <c r="H333" s="16">
        <v>13097.459999999992</v>
      </c>
      <c r="I333" s="20">
        <v>29.96</v>
      </c>
      <c r="J333" s="18"/>
      <c r="K333" s="18"/>
      <c r="L333" s="18"/>
      <c r="M333" s="32"/>
    </row>
    <row r="334" spans="1:13" s="22" customFormat="1" ht="24" customHeight="1" thickBot="1">
      <c r="A334" s="21">
        <v>46050</v>
      </c>
      <c r="B334" s="25" t="s">
        <v>41</v>
      </c>
      <c r="C334" s="25" t="s">
        <v>9</v>
      </c>
      <c r="D334" s="22" t="s">
        <v>34</v>
      </c>
      <c r="E334" s="23">
        <v>921277</v>
      </c>
      <c r="F334" s="20">
        <v>59.999999999999993</v>
      </c>
      <c r="G334" s="40">
        <v>1797.6</v>
      </c>
      <c r="H334" s="16">
        <v>11299.859999999991</v>
      </c>
      <c r="I334" s="20">
        <v>29.96</v>
      </c>
      <c r="J334" s="18"/>
      <c r="K334" s="18"/>
      <c r="L334" s="18"/>
      <c r="M334" s="32"/>
    </row>
    <row r="335" spans="1:13" s="22" customFormat="1" ht="24" customHeight="1" thickBot="1">
      <c r="A335" s="21">
        <v>46050</v>
      </c>
      <c r="B335" s="22" t="s">
        <v>60</v>
      </c>
      <c r="C335" s="22" t="s">
        <v>2</v>
      </c>
      <c r="D335" s="25" t="s">
        <v>35</v>
      </c>
      <c r="E335" s="23">
        <v>148385</v>
      </c>
      <c r="F335" s="20">
        <v>50</v>
      </c>
      <c r="G335" s="31">
        <v>1498</v>
      </c>
      <c r="H335" s="16">
        <v>9801.8599999999915</v>
      </c>
      <c r="I335" s="20">
        <v>29.96</v>
      </c>
      <c r="J335" s="18"/>
      <c r="K335" s="18"/>
      <c r="L335" s="18"/>
      <c r="M335" s="32"/>
    </row>
    <row r="336" spans="1:13" s="22" customFormat="1" ht="24" customHeight="1" thickBot="1">
      <c r="A336" s="21">
        <v>46050</v>
      </c>
      <c r="B336" s="22" t="s">
        <v>59</v>
      </c>
      <c r="C336" s="22" t="s">
        <v>11</v>
      </c>
      <c r="D336" s="22" t="s">
        <v>36</v>
      </c>
      <c r="E336" s="23">
        <v>235338</v>
      </c>
      <c r="F336" s="20">
        <v>50</v>
      </c>
      <c r="G336" s="31">
        <v>1498</v>
      </c>
      <c r="H336" s="16">
        <v>8303.8599999999915</v>
      </c>
      <c r="I336" s="20">
        <v>29.96</v>
      </c>
      <c r="J336" s="18"/>
      <c r="K336" s="18"/>
      <c r="L336" s="18"/>
      <c r="M336" s="32"/>
    </row>
    <row r="337" spans="1:13" s="22" customFormat="1" ht="24" customHeight="1" thickBot="1">
      <c r="A337" s="21">
        <v>46050</v>
      </c>
      <c r="B337" s="25" t="s">
        <v>50</v>
      </c>
      <c r="C337" s="25" t="s">
        <v>5</v>
      </c>
      <c r="D337" s="22" t="s">
        <v>34</v>
      </c>
      <c r="E337" s="23">
        <v>195976</v>
      </c>
      <c r="F337" s="20">
        <v>50</v>
      </c>
      <c r="G337" s="40">
        <v>1498</v>
      </c>
      <c r="H337" s="16">
        <v>6805.8599999999915</v>
      </c>
      <c r="I337" s="20">
        <v>29.96</v>
      </c>
      <c r="J337" s="18"/>
      <c r="K337" s="18"/>
      <c r="L337" s="18"/>
      <c r="M337" s="32"/>
    </row>
    <row r="338" spans="1:13" s="22" customFormat="1" ht="24" customHeight="1" thickBot="1">
      <c r="A338" s="21">
        <v>46050</v>
      </c>
      <c r="B338" s="22" t="s">
        <v>53</v>
      </c>
      <c r="C338" s="22" t="s">
        <v>10</v>
      </c>
      <c r="D338" s="22" t="s">
        <v>36</v>
      </c>
      <c r="E338" s="23">
        <v>295379</v>
      </c>
      <c r="F338" s="20">
        <v>50</v>
      </c>
      <c r="G338" s="31">
        <v>1498</v>
      </c>
      <c r="H338" s="16">
        <v>5307.8599999999915</v>
      </c>
      <c r="I338" s="20">
        <v>29.96</v>
      </c>
      <c r="J338" s="18"/>
      <c r="K338" s="18"/>
      <c r="L338" s="18"/>
      <c r="M338" s="32"/>
    </row>
    <row r="339" spans="1:13" s="22" customFormat="1" ht="24" customHeight="1" thickBot="1">
      <c r="A339" s="21">
        <v>46050</v>
      </c>
      <c r="B339" s="22" t="s">
        <v>51</v>
      </c>
      <c r="C339" s="22" t="s">
        <v>3</v>
      </c>
      <c r="D339" s="22" t="s">
        <v>35</v>
      </c>
      <c r="E339" s="23">
        <v>305106</v>
      </c>
      <c r="F339" s="20">
        <v>90</v>
      </c>
      <c r="G339" s="31">
        <v>2696.4</v>
      </c>
      <c r="H339" s="16">
        <v>2611.4599999999914</v>
      </c>
      <c r="I339" s="20">
        <v>29.96</v>
      </c>
      <c r="J339" s="18"/>
      <c r="K339" s="18"/>
      <c r="L339" s="18"/>
      <c r="M339" s="32"/>
    </row>
    <row r="340" spans="1:13" s="22" customFormat="1" ht="24" customHeight="1" thickBot="1">
      <c r="A340" s="21">
        <v>46050</v>
      </c>
      <c r="B340" s="25" t="s">
        <v>48</v>
      </c>
      <c r="C340" s="25" t="s">
        <v>17</v>
      </c>
      <c r="D340" s="22" t="s">
        <v>36</v>
      </c>
      <c r="E340" s="23">
        <v>159499</v>
      </c>
      <c r="F340" s="20">
        <v>50</v>
      </c>
      <c r="G340" s="31">
        <v>1498</v>
      </c>
      <c r="H340" s="16">
        <v>1113.4599999999914</v>
      </c>
      <c r="I340" s="20">
        <v>29.96</v>
      </c>
      <c r="J340" s="18"/>
      <c r="K340" s="18"/>
      <c r="L340" s="18"/>
      <c r="M340" s="32"/>
    </row>
    <row r="341" spans="1:13" s="22" customFormat="1" ht="24" customHeight="1" thickBot="1">
      <c r="A341" s="21">
        <v>46050</v>
      </c>
      <c r="B341" s="22" t="s">
        <v>63</v>
      </c>
      <c r="C341" s="22" t="s">
        <v>12</v>
      </c>
      <c r="D341" s="22" t="s">
        <v>36</v>
      </c>
      <c r="E341" s="23">
        <v>252388</v>
      </c>
      <c r="F341" s="20">
        <v>50</v>
      </c>
      <c r="G341" s="31">
        <v>1498</v>
      </c>
      <c r="H341" s="16">
        <v>-384.5400000000086</v>
      </c>
      <c r="I341" s="20">
        <v>29.96</v>
      </c>
      <c r="J341" s="18"/>
      <c r="K341" s="18"/>
      <c r="L341" s="18"/>
      <c r="M341" s="32"/>
    </row>
    <row r="342" spans="1:13" s="22" customFormat="1" ht="24" customHeight="1" thickBot="1">
      <c r="A342" s="21">
        <v>46050</v>
      </c>
      <c r="B342" s="22" t="s">
        <v>53</v>
      </c>
      <c r="C342" s="22" t="s">
        <v>10</v>
      </c>
      <c r="D342" s="22" t="s">
        <v>34</v>
      </c>
      <c r="E342" s="30">
        <v>295474</v>
      </c>
      <c r="F342" s="20">
        <v>50</v>
      </c>
      <c r="G342" s="31">
        <v>1498</v>
      </c>
      <c r="H342" s="16">
        <v>-1882.5400000000086</v>
      </c>
      <c r="I342" s="20">
        <v>29.96</v>
      </c>
      <c r="J342" s="18"/>
      <c r="K342" s="18"/>
      <c r="L342" s="18"/>
      <c r="M342" s="32"/>
    </row>
    <row r="343" spans="1:13" s="22" customFormat="1" ht="24" customHeight="1" thickBot="1">
      <c r="A343" s="21">
        <v>46051</v>
      </c>
      <c r="B343" s="25" t="s">
        <v>49</v>
      </c>
      <c r="C343" s="25" t="s">
        <v>6</v>
      </c>
      <c r="D343" s="22" t="s">
        <v>35</v>
      </c>
      <c r="E343" s="30">
        <v>170904</v>
      </c>
      <c r="F343" s="20">
        <v>50</v>
      </c>
      <c r="G343" s="40">
        <v>1498</v>
      </c>
      <c r="H343" s="16">
        <v>-3380.5400000000086</v>
      </c>
      <c r="I343" s="20">
        <v>29.96</v>
      </c>
      <c r="J343" s="18"/>
      <c r="K343" s="18"/>
      <c r="L343" s="18"/>
      <c r="M343" s="32"/>
    </row>
    <row r="344" spans="1:13" s="22" customFormat="1" ht="24" customHeight="1" thickBot="1">
      <c r="A344" s="21">
        <v>46051</v>
      </c>
      <c r="B344" s="22" t="s">
        <v>59</v>
      </c>
      <c r="C344" s="22" t="s">
        <v>11</v>
      </c>
      <c r="D344" s="22" t="s">
        <v>35</v>
      </c>
      <c r="E344" s="30">
        <v>235523</v>
      </c>
      <c r="F344" s="20">
        <v>50</v>
      </c>
      <c r="G344" s="31">
        <v>1498</v>
      </c>
      <c r="H344" s="16">
        <v>-4878.5400000000081</v>
      </c>
      <c r="I344" s="20">
        <v>29.96</v>
      </c>
      <c r="J344" s="18"/>
      <c r="K344" s="18"/>
      <c r="L344" s="18"/>
      <c r="M344" s="32"/>
    </row>
    <row r="345" spans="1:13" s="22" customFormat="1" ht="24" customHeight="1" thickBot="1">
      <c r="A345" s="21">
        <v>46051</v>
      </c>
      <c r="B345" s="25" t="s">
        <v>43</v>
      </c>
      <c r="C345" s="25" t="s">
        <v>1</v>
      </c>
      <c r="D345" s="22" t="s">
        <v>36</v>
      </c>
      <c r="E345" s="30">
        <v>172726</v>
      </c>
      <c r="F345" s="20">
        <v>90</v>
      </c>
      <c r="G345" s="40">
        <v>2696.4</v>
      </c>
      <c r="H345" s="16">
        <v>-7574.9400000000078</v>
      </c>
      <c r="I345" s="20">
        <v>29.96</v>
      </c>
      <c r="J345" s="18"/>
      <c r="K345" s="18"/>
      <c r="L345" s="18"/>
      <c r="M345" s="32"/>
    </row>
    <row r="346" spans="1:13" s="22" customFormat="1" ht="24" customHeight="1" thickBot="1">
      <c r="A346" s="21">
        <v>46051</v>
      </c>
      <c r="B346" s="25" t="s">
        <v>50</v>
      </c>
      <c r="C346" s="25" t="s">
        <v>5</v>
      </c>
      <c r="D346" s="22" t="s">
        <v>35</v>
      </c>
      <c r="E346" s="23">
        <v>196130</v>
      </c>
      <c r="F346" s="20">
        <v>50</v>
      </c>
      <c r="G346" s="40">
        <v>1498</v>
      </c>
      <c r="H346" s="16">
        <v>-9072.9400000000078</v>
      </c>
      <c r="I346" s="20">
        <v>29.96</v>
      </c>
      <c r="J346" s="18"/>
      <c r="K346" s="18"/>
      <c r="L346" s="18"/>
      <c r="M346" s="32"/>
    </row>
    <row r="347" spans="1:13" s="22" customFormat="1" ht="24" customHeight="1" thickBot="1">
      <c r="A347" s="21">
        <v>46051</v>
      </c>
      <c r="B347" s="22" t="s">
        <v>54</v>
      </c>
      <c r="C347" s="22" t="s">
        <v>16</v>
      </c>
      <c r="D347" s="22" t="s">
        <v>36</v>
      </c>
      <c r="E347" s="23">
        <v>235406</v>
      </c>
      <c r="F347" s="20">
        <v>50</v>
      </c>
      <c r="G347" s="31">
        <v>1498</v>
      </c>
      <c r="H347" s="16">
        <v>-10570.940000000008</v>
      </c>
      <c r="I347" s="20">
        <v>29.96</v>
      </c>
      <c r="J347" s="18"/>
      <c r="K347" s="18"/>
      <c r="L347" s="18"/>
      <c r="M347" s="32"/>
    </row>
    <row r="348" spans="1:13" s="22" customFormat="1" ht="24" customHeight="1" thickBot="1">
      <c r="A348" s="21">
        <v>46051</v>
      </c>
      <c r="B348" s="22" t="s">
        <v>52</v>
      </c>
      <c r="C348" s="22" t="s">
        <v>4</v>
      </c>
      <c r="D348" s="22" t="s">
        <v>36</v>
      </c>
      <c r="E348" s="23">
        <v>173468</v>
      </c>
      <c r="F348" s="20">
        <v>40</v>
      </c>
      <c r="G348" s="31">
        <v>1198.4000000000001</v>
      </c>
      <c r="H348" s="16">
        <v>-11769.340000000007</v>
      </c>
      <c r="I348" s="20">
        <v>29.96</v>
      </c>
      <c r="J348" s="18"/>
      <c r="K348" s="18"/>
      <c r="L348" s="18"/>
      <c r="M348" s="32"/>
    </row>
    <row r="349" spans="1:13" s="22" customFormat="1" ht="24" customHeight="1" thickBot="1">
      <c r="A349" s="21">
        <v>46051</v>
      </c>
      <c r="B349" s="25" t="s">
        <v>48</v>
      </c>
      <c r="C349" s="25" t="s">
        <v>17</v>
      </c>
      <c r="D349" s="22" t="s">
        <v>36</v>
      </c>
      <c r="E349" s="23">
        <v>159681</v>
      </c>
      <c r="F349" s="20">
        <v>50</v>
      </c>
      <c r="G349" s="31">
        <v>1498</v>
      </c>
      <c r="H349" s="16">
        <v>-13267.340000000007</v>
      </c>
      <c r="I349" s="20">
        <v>29.96</v>
      </c>
      <c r="J349" s="18"/>
      <c r="K349" s="18"/>
      <c r="L349" s="18"/>
      <c r="M349" s="32"/>
    </row>
    <row r="350" spans="1:13" s="22" customFormat="1" ht="24" customHeight="1" thickBot="1">
      <c r="A350" s="21">
        <v>46051</v>
      </c>
      <c r="B350" s="22" t="s">
        <v>60</v>
      </c>
      <c r="C350" s="22" t="s">
        <v>2</v>
      </c>
      <c r="D350" s="22" t="s">
        <v>34</v>
      </c>
      <c r="E350" s="23">
        <v>148517</v>
      </c>
      <c r="F350" s="20">
        <v>50</v>
      </c>
      <c r="G350" s="31">
        <v>1498</v>
      </c>
      <c r="H350" s="16">
        <v>-14765.340000000007</v>
      </c>
      <c r="I350" s="20">
        <v>29.96</v>
      </c>
      <c r="J350" s="18"/>
      <c r="K350" s="18"/>
      <c r="L350" s="18"/>
      <c r="M350" s="32"/>
    </row>
    <row r="351" spans="1:13" s="22" customFormat="1" ht="24" customHeight="1" thickBot="1">
      <c r="A351" s="21">
        <v>46051</v>
      </c>
      <c r="B351" s="22" t="s">
        <v>55</v>
      </c>
      <c r="C351" s="22" t="s">
        <v>15</v>
      </c>
      <c r="D351" s="22" t="s">
        <v>34</v>
      </c>
      <c r="E351" s="23">
        <v>280663</v>
      </c>
      <c r="F351" s="20">
        <v>50</v>
      </c>
      <c r="G351" s="31">
        <v>1498</v>
      </c>
      <c r="H351" s="16">
        <v>-16263.340000000007</v>
      </c>
      <c r="I351" s="20">
        <v>29.96</v>
      </c>
      <c r="J351" s="18"/>
      <c r="K351" s="18"/>
      <c r="L351" s="18"/>
      <c r="M351" s="32"/>
    </row>
    <row r="352" spans="1:13" s="22" customFormat="1" ht="24" customHeight="1" thickBot="1">
      <c r="A352" s="21">
        <v>46051</v>
      </c>
      <c r="B352" s="22" t="s">
        <v>51</v>
      </c>
      <c r="C352" s="22" t="s">
        <v>3</v>
      </c>
      <c r="D352" s="22" t="s">
        <v>34</v>
      </c>
      <c r="E352" s="23">
        <v>305286</v>
      </c>
      <c r="F352" s="20">
        <v>50</v>
      </c>
      <c r="G352" s="31">
        <v>1498</v>
      </c>
      <c r="H352" s="16">
        <v>-17761.340000000007</v>
      </c>
      <c r="I352" s="20">
        <v>29.96</v>
      </c>
      <c r="J352" s="18"/>
      <c r="K352" s="18"/>
      <c r="L352" s="18"/>
      <c r="M352" s="32"/>
    </row>
    <row r="353" spans="1:13" s="22" customFormat="1" ht="24" customHeight="1" thickBot="1">
      <c r="A353" s="21">
        <v>46051</v>
      </c>
      <c r="B353" s="22" t="s">
        <v>46</v>
      </c>
      <c r="C353" s="25" t="s">
        <v>47</v>
      </c>
      <c r="D353" s="22" t="s">
        <v>36</v>
      </c>
      <c r="E353" s="23">
        <v>237845</v>
      </c>
      <c r="F353" s="20">
        <v>138.18424566088117</v>
      </c>
      <c r="G353" s="31">
        <v>4140</v>
      </c>
      <c r="H353" s="16">
        <v>-21901.340000000007</v>
      </c>
      <c r="I353" s="20">
        <v>29.96</v>
      </c>
      <c r="J353" s="18"/>
      <c r="K353" s="18"/>
      <c r="L353" s="18"/>
      <c r="M353" s="32"/>
    </row>
    <row r="354" spans="1:13" s="22" customFormat="1" ht="24" customHeight="1" thickBot="1">
      <c r="A354" s="21">
        <v>46051</v>
      </c>
      <c r="B354" s="25" t="s">
        <v>41</v>
      </c>
      <c r="C354" s="25" t="s">
        <v>9</v>
      </c>
      <c r="D354" s="22" t="s">
        <v>35</v>
      </c>
      <c r="E354" s="23">
        <v>921410</v>
      </c>
      <c r="F354" s="20">
        <v>59.999999999999993</v>
      </c>
      <c r="G354" s="40">
        <v>1797.6</v>
      </c>
      <c r="H354" s="16">
        <v>-23698.940000000006</v>
      </c>
      <c r="I354" s="20">
        <v>29.96</v>
      </c>
      <c r="J354" s="18"/>
      <c r="K354" s="18"/>
      <c r="L354" s="18"/>
      <c r="M354" s="32"/>
    </row>
    <row r="355" spans="1:13" s="22" customFormat="1" ht="24" customHeight="1" thickBot="1">
      <c r="A355" s="21">
        <v>46051</v>
      </c>
      <c r="B355" s="22" t="s">
        <v>39</v>
      </c>
      <c r="C355" s="22" t="s">
        <v>64</v>
      </c>
      <c r="D355" s="22" t="s">
        <v>34</v>
      </c>
      <c r="E355" s="41" t="s">
        <v>20</v>
      </c>
      <c r="F355" s="20">
        <v>16.688918558077436</v>
      </c>
      <c r="G355" s="31">
        <v>500</v>
      </c>
      <c r="H355" s="16">
        <v>-24198.940000000006</v>
      </c>
      <c r="I355" s="20">
        <v>29.96</v>
      </c>
      <c r="J355" s="18"/>
      <c r="K355" s="18"/>
      <c r="L355" s="18"/>
      <c r="M355" s="32"/>
    </row>
    <row r="356" spans="1:13" s="22" customFormat="1" ht="24" customHeight="1" thickBot="1">
      <c r="A356" s="21">
        <v>46051</v>
      </c>
      <c r="B356" s="22" t="s">
        <v>63</v>
      </c>
      <c r="C356" s="22" t="s">
        <v>12</v>
      </c>
      <c r="D356" s="22" t="s">
        <v>36</v>
      </c>
      <c r="E356" s="23">
        <v>252548</v>
      </c>
      <c r="F356" s="20">
        <v>50</v>
      </c>
      <c r="G356" s="31">
        <v>1498</v>
      </c>
      <c r="H356" s="16">
        <v>-25696.940000000006</v>
      </c>
      <c r="I356" s="20">
        <v>29.96</v>
      </c>
      <c r="J356" s="18"/>
      <c r="K356" s="18"/>
      <c r="L356" s="18"/>
      <c r="M356" s="32"/>
    </row>
    <row r="357" spans="1:13" s="22" customFormat="1" ht="24" customHeight="1" thickBot="1">
      <c r="A357" s="21">
        <v>46051</v>
      </c>
      <c r="B357" s="25" t="s">
        <v>42</v>
      </c>
      <c r="C357" s="25" t="s">
        <v>32</v>
      </c>
      <c r="D357" s="22" t="s">
        <v>34</v>
      </c>
      <c r="E357" s="23">
        <v>274347</v>
      </c>
      <c r="F357" s="20">
        <v>50</v>
      </c>
      <c r="G357" s="31">
        <v>1498</v>
      </c>
      <c r="H357" s="16">
        <v>-27194.940000000006</v>
      </c>
      <c r="I357" s="20">
        <v>29.96</v>
      </c>
      <c r="J357" s="18"/>
      <c r="K357" s="18"/>
      <c r="L357" s="18"/>
      <c r="M357" s="32"/>
    </row>
    <row r="358" spans="1:13" s="22" customFormat="1" ht="24" customHeight="1" thickBot="1">
      <c r="A358" s="21">
        <v>46051</v>
      </c>
      <c r="B358" s="22" t="s">
        <v>45</v>
      </c>
      <c r="C358" s="22" t="s">
        <v>7</v>
      </c>
      <c r="D358" s="22" t="s">
        <v>36</v>
      </c>
      <c r="E358" s="23">
        <v>175207</v>
      </c>
      <c r="F358" s="20">
        <v>168.5580774365821</v>
      </c>
      <c r="G358" s="31">
        <v>5050</v>
      </c>
      <c r="H358" s="16">
        <v>-32244.940000000006</v>
      </c>
      <c r="I358" s="20">
        <v>29.96</v>
      </c>
      <c r="J358" s="18"/>
      <c r="K358" s="18"/>
      <c r="L358" s="18"/>
      <c r="M358" s="32"/>
    </row>
    <row r="359" spans="1:13" s="22" customFormat="1" ht="24" customHeight="1" thickBot="1">
      <c r="A359" s="21">
        <v>46052</v>
      </c>
      <c r="B359" s="25" t="s">
        <v>49</v>
      </c>
      <c r="C359" s="25" t="s">
        <v>6</v>
      </c>
      <c r="D359" s="22" t="s">
        <v>35</v>
      </c>
      <c r="E359" s="23">
        <v>171046</v>
      </c>
      <c r="F359" s="20">
        <v>50</v>
      </c>
      <c r="G359" s="40">
        <v>1498</v>
      </c>
      <c r="H359" s="16">
        <v>-33742.94</v>
      </c>
      <c r="I359" s="20">
        <v>29.96</v>
      </c>
      <c r="J359" s="18"/>
      <c r="K359" s="18"/>
      <c r="L359" s="18"/>
      <c r="M359" s="32"/>
    </row>
    <row r="360" spans="1:13" s="34" customFormat="1" ht="24" customHeight="1" thickBot="1">
      <c r="A360" s="33">
        <v>46052</v>
      </c>
      <c r="B360" s="34" t="s">
        <v>59</v>
      </c>
      <c r="C360" s="34" t="s">
        <v>11</v>
      </c>
      <c r="D360" s="34" t="s">
        <v>35</v>
      </c>
      <c r="E360" s="35" t="s">
        <v>20</v>
      </c>
      <c r="F360" s="37">
        <v>50</v>
      </c>
      <c r="G360" s="36">
        <v>1498</v>
      </c>
      <c r="H360" s="16">
        <v>-35240.94</v>
      </c>
      <c r="I360" s="37">
        <v>29.96</v>
      </c>
      <c r="J360" s="38"/>
      <c r="K360" s="38" t="s">
        <v>71</v>
      </c>
      <c r="L360" s="38"/>
      <c r="M360" s="39"/>
    </row>
    <row r="361" spans="1:13" s="22" customFormat="1" ht="24" customHeight="1" thickBot="1">
      <c r="A361" s="21">
        <v>46052</v>
      </c>
      <c r="B361" s="25" t="s">
        <v>50</v>
      </c>
      <c r="C361" s="25" t="s">
        <v>5</v>
      </c>
      <c r="D361" s="22" t="s">
        <v>34</v>
      </c>
      <c r="E361" s="23">
        <v>196250</v>
      </c>
      <c r="F361" s="20">
        <v>50</v>
      </c>
      <c r="G361" s="40">
        <v>1498</v>
      </c>
      <c r="H361" s="16">
        <v>-36738.94</v>
      </c>
      <c r="I361" s="20">
        <v>29.96</v>
      </c>
      <c r="J361" s="18"/>
      <c r="K361" s="18"/>
      <c r="L361" s="18"/>
      <c r="M361" s="32"/>
    </row>
    <row r="362" spans="1:13" s="22" customFormat="1" ht="24" customHeight="1" thickBot="1">
      <c r="A362" s="21">
        <v>46052</v>
      </c>
      <c r="B362" s="22" t="s">
        <v>52</v>
      </c>
      <c r="C362" s="22" t="s">
        <v>4</v>
      </c>
      <c r="D362" s="22" t="s">
        <v>34</v>
      </c>
      <c r="E362" s="23">
        <v>173561</v>
      </c>
      <c r="F362" s="20">
        <v>31.999332443257678</v>
      </c>
      <c r="G362" s="31">
        <v>958.7</v>
      </c>
      <c r="H362" s="16">
        <v>-37697.64</v>
      </c>
      <c r="I362" s="20">
        <v>29.96</v>
      </c>
      <c r="J362" s="18"/>
      <c r="K362" s="18"/>
      <c r="L362" s="18"/>
      <c r="M362" s="32"/>
    </row>
    <row r="363" spans="1:13" s="22" customFormat="1" ht="24" customHeight="1" thickBot="1">
      <c r="A363" s="21">
        <v>46052</v>
      </c>
      <c r="B363" s="22" t="s">
        <v>53</v>
      </c>
      <c r="C363" s="22" t="s">
        <v>10</v>
      </c>
      <c r="D363" s="22" t="s">
        <v>36</v>
      </c>
      <c r="E363" s="23">
        <v>295642</v>
      </c>
      <c r="F363" s="20">
        <v>50</v>
      </c>
      <c r="G363" s="40">
        <v>1498</v>
      </c>
      <c r="H363" s="16">
        <v>-39195.64</v>
      </c>
      <c r="I363" s="20">
        <v>29.96</v>
      </c>
      <c r="J363" s="18"/>
      <c r="K363" s="18"/>
      <c r="L363" s="18"/>
      <c r="M363" s="32"/>
    </row>
    <row r="364" spans="1:13" s="22" customFormat="1" ht="24" customHeight="1" thickBot="1">
      <c r="A364" s="21">
        <v>46052</v>
      </c>
      <c r="B364" s="22" t="s">
        <v>51</v>
      </c>
      <c r="C364" s="22" t="s">
        <v>3</v>
      </c>
      <c r="D364" s="22" t="s">
        <v>36</v>
      </c>
      <c r="E364" s="23">
        <v>305445</v>
      </c>
      <c r="F364" s="20">
        <v>50</v>
      </c>
      <c r="G364" s="31">
        <v>1498</v>
      </c>
      <c r="H364" s="16">
        <v>-40693.64</v>
      </c>
      <c r="I364" s="20">
        <v>29.96</v>
      </c>
      <c r="J364" s="18"/>
      <c r="K364" s="18"/>
      <c r="L364" s="18"/>
      <c r="M364" s="32"/>
    </row>
    <row r="365" spans="1:13" s="22" customFormat="1" ht="24" customHeight="1" thickBot="1">
      <c r="A365" s="21">
        <v>46052</v>
      </c>
      <c r="B365" s="25" t="s">
        <v>41</v>
      </c>
      <c r="C365" s="25" t="s">
        <v>9</v>
      </c>
      <c r="D365" s="22" t="s">
        <v>34</v>
      </c>
      <c r="E365" s="23">
        <v>921541</v>
      </c>
      <c r="F365" s="20">
        <v>59.999999999999993</v>
      </c>
      <c r="G365" s="40">
        <v>1797.6</v>
      </c>
      <c r="H365" s="16">
        <v>-42491.24</v>
      </c>
      <c r="I365" s="20">
        <v>29.96</v>
      </c>
      <c r="J365" s="18"/>
      <c r="K365" s="18"/>
      <c r="L365" s="18"/>
      <c r="M365" s="32"/>
    </row>
    <row r="366" spans="1:13" s="22" customFormat="1" ht="24" customHeight="1" thickBot="1">
      <c r="A366" s="21">
        <v>46052</v>
      </c>
      <c r="B366" s="25" t="s">
        <v>42</v>
      </c>
      <c r="C366" s="25" t="s">
        <v>32</v>
      </c>
      <c r="D366" s="22" t="s">
        <v>34</v>
      </c>
      <c r="E366" s="23">
        <v>274517</v>
      </c>
      <c r="F366" s="20">
        <v>50</v>
      </c>
      <c r="G366" s="31">
        <v>1498</v>
      </c>
      <c r="H366" s="16">
        <v>-43989.24</v>
      </c>
      <c r="I366" s="20">
        <v>29.96</v>
      </c>
      <c r="J366" s="18"/>
      <c r="K366" s="18"/>
      <c r="L366" s="18"/>
      <c r="M366" s="32"/>
    </row>
    <row r="367" spans="1:13" s="22" customFormat="1" ht="24" customHeight="1" thickBot="1">
      <c r="A367" s="21">
        <v>46052</v>
      </c>
      <c r="B367" s="25" t="s">
        <v>48</v>
      </c>
      <c r="C367" s="25" t="s">
        <v>17</v>
      </c>
      <c r="D367" s="22" t="s">
        <v>35</v>
      </c>
      <c r="E367" s="23">
        <v>159881</v>
      </c>
      <c r="F367" s="20">
        <v>50</v>
      </c>
      <c r="G367" s="31">
        <v>1498</v>
      </c>
      <c r="H367" s="16">
        <v>-45487.24</v>
      </c>
      <c r="I367" s="20">
        <v>29.96</v>
      </c>
      <c r="J367" s="18"/>
      <c r="K367" s="18"/>
      <c r="L367" s="18"/>
      <c r="M367" s="32"/>
    </row>
    <row r="368" spans="1:13" s="22" customFormat="1" ht="24" customHeight="1" thickBot="1">
      <c r="A368" s="21">
        <v>46052</v>
      </c>
      <c r="B368" s="22" t="s">
        <v>52</v>
      </c>
      <c r="C368" s="22" t="s">
        <v>4</v>
      </c>
      <c r="D368" s="22" t="s">
        <v>36</v>
      </c>
      <c r="E368" s="23">
        <v>173709</v>
      </c>
      <c r="F368" s="20">
        <v>46.999332443257671</v>
      </c>
      <c r="G368" s="40">
        <v>1408.1</v>
      </c>
      <c r="H368" s="16">
        <v>-46895.34</v>
      </c>
      <c r="I368" s="20">
        <v>29.96</v>
      </c>
      <c r="J368" s="18"/>
      <c r="K368" s="18"/>
      <c r="L368" s="18"/>
      <c r="M368" s="32"/>
    </row>
    <row r="369" spans="1:13" s="22" customFormat="1" ht="24" customHeight="1" thickBot="1">
      <c r="A369" s="21">
        <v>46053</v>
      </c>
      <c r="B369" s="22" t="s">
        <v>54</v>
      </c>
      <c r="C369" s="22" t="s">
        <v>16</v>
      </c>
      <c r="D369" s="22" t="s">
        <v>34</v>
      </c>
      <c r="E369" s="23">
        <v>235651</v>
      </c>
      <c r="F369" s="20">
        <v>69.999999999999986</v>
      </c>
      <c r="G369" s="31">
        <v>2097.1999999999998</v>
      </c>
      <c r="H369" s="16">
        <v>-48992.539999999994</v>
      </c>
      <c r="I369" s="20">
        <v>29.96</v>
      </c>
      <c r="J369" s="18"/>
      <c r="K369" s="18"/>
      <c r="L369" s="18"/>
      <c r="M369" s="32"/>
    </row>
    <row r="370" spans="1:13" s="22" customFormat="1" ht="24" customHeight="1" thickBot="1">
      <c r="A370" s="21">
        <v>46053</v>
      </c>
      <c r="B370" s="22" t="s">
        <v>56</v>
      </c>
      <c r="C370" s="22" t="s">
        <v>62</v>
      </c>
      <c r="D370" s="22" t="s">
        <v>34</v>
      </c>
      <c r="E370" s="23">
        <v>295115</v>
      </c>
      <c r="F370" s="20">
        <v>166.00133511348463</v>
      </c>
      <c r="G370" s="31">
        <v>4973.3999999999996</v>
      </c>
      <c r="H370" s="16">
        <v>-53965.939999999995</v>
      </c>
      <c r="I370" s="20">
        <v>29.96</v>
      </c>
      <c r="J370" s="18"/>
      <c r="K370" s="18"/>
      <c r="L370" s="18"/>
      <c r="M370" s="32"/>
    </row>
    <row r="371" spans="1:13" s="22" customFormat="1" ht="24" customHeight="1" thickBot="1">
      <c r="A371" s="21">
        <v>46053</v>
      </c>
      <c r="B371" s="22" t="s">
        <v>63</v>
      </c>
      <c r="C371" s="22" t="s">
        <v>12</v>
      </c>
      <c r="D371" s="22" t="s">
        <v>36</v>
      </c>
      <c r="E371" s="23">
        <v>252825</v>
      </c>
      <c r="F371" s="20">
        <v>50</v>
      </c>
      <c r="G371" s="31">
        <v>1498</v>
      </c>
      <c r="H371" s="16">
        <v>-55463.939999999995</v>
      </c>
      <c r="I371" s="20">
        <v>29.96</v>
      </c>
      <c r="J371" s="18"/>
      <c r="K371" s="18"/>
      <c r="L371" s="18"/>
      <c r="M371" s="32"/>
    </row>
    <row r="372" spans="1:13" s="22" customFormat="1" ht="24" hidden="1" customHeight="1" thickBot="1">
      <c r="A372" s="21">
        <v>46053</v>
      </c>
      <c r="B372" s="26" t="s">
        <v>20</v>
      </c>
      <c r="C372" s="26" t="s">
        <v>20</v>
      </c>
      <c r="D372" s="26" t="s">
        <v>20</v>
      </c>
      <c r="E372" s="27" t="s">
        <v>65</v>
      </c>
      <c r="F372" s="20" t="s">
        <v>20</v>
      </c>
      <c r="G372" s="31">
        <v>-90000</v>
      </c>
      <c r="H372" s="16">
        <v>34536.060000000005</v>
      </c>
      <c r="I372" s="20">
        <v>29.96</v>
      </c>
      <c r="J372" s="28" t="s">
        <v>89</v>
      </c>
      <c r="K372" s="18"/>
      <c r="L372" s="18"/>
      <c r="M372" s="32"/>
    </row>
    <row r="373" spans="1:13" s="22" customFormat="1" ht="24" customHeight="1" thickBot="1">
      <c r="A373" s="21">
        <v>46053</v>
      </c>
      <c r="B373" s="22" t="s">
        <v>51</v>
      </c>
      <c r="C373" s="22" t="s">
        <v>3</v>
      </c>
      <c r="D373" s="22" t="s">
        <v>34</v>
      </c>
      <c r="E373" s="23">
        <v>305567</v>
      </c>
      <c r="F373" s="20">
        <v>50</v>
      </c>
      <c r="G373" s="31">
        <v>1498</v>
      </c>
      <c r="H373" s="16">
        <v>33038.060000000005</v>
      </c>
      <c r="I373" s="20">
        <v>29.96</v>
      </c>
      <c r="J373" s="18"/>
      <c r="K373" s="18"/>
      <c r="L373" s="18"/>
      <c r="M373" s="32"/>
    </row>
    <row r="374" spans="1:13" s="22" customFormat="1" ht="24" customHeight="1" thickBot="1">
      <c r="A374" s="21">
        <v>46053</v>
      </c>
      <c r="B374" s="22" t="s">
        <v>60</v>
      </c>
      <c r="C374" s="22" t="s">
        <v>2</v>
      </c>
      <c r="D374" s="22" t="s">
        <v>34</v>
      </c>
      <c r="E374" s="23">
        <v>148811</v>
      </c>
      <c r="F374" s="20">
        <v>50</v>
      </c>
      <c r="G374" s="24">
        <v>1498</v>
      </c>
      <c r="H374" s="16">
        <v>31540.060000000005</v>
      </c>
      <c r="I374" s="20">
        <v>29.96</v>
      </c>
      <c r="J374" s="18"/>
      <c r="K374" s="18"/>
      <c r="L374" s="18"/>
      <c r="M374" s="32"/>
    </row>
    <row r="375" spans="1:13" s="22" customFormat="1" ht="24" customHeight="1" thickBot="1">
      <c r="A375" s="21">
        <v>46053</v>
      </c>
      <c r="B375" s="25" t="s">
        <v>49</v>
      </c>
      <c r="C375" s="25" t="s">
        <v>6</v>
      </c>
      <c r="D375" s="22" t="s">
        <v>34</v>
      </c>
      <c r="E375" s="30">
        <v>171250</v>
      </c>
      <c r="F375" s="20">
        <v>50</v>
      </c>
      <c r="G375" s="43">
        <v>1498</v>
      </c>
      <c r="H375" s="16">
        <v>30042.060000000005</v>
      </c>
      <c r="I375" s="20">
        <v>29.96</v>
      </c>
      <c r="J375" s="18"/>
      <c r="K375" s="18"/>
      <c r="L375" s="18"/>
      <c r="M375" s="32"/>
    </row>
    <row r="376" spans="1:13" s="22" customFormat="1" ht="24" customHeight="1" thickBot="1">
      <c r="A376" s="21">
        <v>46053</v>
      </c>
      <c r="B376" s="25" t="s">
        <v>41</v>
      </c>
      <c r="C376" s="25" t="s">
        <v>9</v>
      </c>
      <c r="D376" s="22" t="s">
        <v>34</v>
      </c>
      <c r="E376" s="23">
        <v>921719</v>
      </c>
      <c r="F376" s="20">
        <v>59.999999999999993</v>
      </c>
      <c r="G376" s="43">
        <v>1797.6</v>
      </c>
      <c r="H376" s="16">
        <v>28244.460000000006</v>
      </c>
      <c r="I376" s="20">
        <v>29.96</v>
      </c>
      <c r="J376" s="18"/>
      <c r="K376" s="18"/>
      <c r="L376" s="18"/>
      <c r="M376" s="32"/>
    </row>
    <row r="377" spans="1:13" s="34" customFormat="1" ht="24" customHeight="1" thickBot="1">
      <c r="A377" s="33">
        <v>46053</v>
      </c>
      <c r="B377" s="34" t="s">
        <v>45</v>
      </c>
      <c r="C377" s="34" t="s">
        <v>11</v>
      </c>
      <c r="D377" s="34" t="s">
        <v>35</v>
      </c>
      <c r="E377" s="35" t="s">
        <v>20</v>
      </c>
      <c r="F377" s="37">
        <v>136.51535380507343</v>
      </c>
      <c r="G377" s="44">
        <v>4090</v>
      </c>
      <c r="H377" s="16">
        <v>24154.460000000006</v>
      </c>
      <c r="I377" s="37">
        <v>29.96</v>
      </c>
      <c r="J377" s="28" t="s">
        <v>90</v>
      </c>
      <c r="K377" s="38" t="s">
        <v>82</v>
      </c>
      <c r="L377" s="38"/>
      <c r="M377" s="39"/>
    </row>
    <row r="378" spans="1:13" s="45" customFormat="1" ht="24" customHeight="1">
      <c r="A378" s="21"/>
      <c r="B378" s="14" t="s">
        <v>20</v>
      </c>
      <c r="C378" s="14" t="s">
        <v>83</v>
      </c>
      <c r="D378" s="5" t="s">
        <v>35</v>
      </c>
      <c r="E378" s="46">
        <v>22077.644092320068</v>
      </c>
      <c r="F378" s="3" t="s">
        <v>84</v>
      </c>
      <c r="G378" s="8"/>
      <c r="H378" s="13"/>
      <c r="I378" s="3"/>
      <c r="J378" s="2"/>
      <c r="K378" s="2"/>
      <c r="L378" s="2"/>
      <c r="M378" s="2"/>
    </row>
    <row r="379" spans="1:13" s="45" customFormat="1" ht="24" customHeight="1">
      <c r="A379" s="21"/>
      <c r="B379" s="14" t="s">
        <v>20</v>
      </c>
      <c r="C379" s="14" t="s">
        <v>85</v>
      </c>
      <c r="D379" s="5" t="s">
        <v>35</v>
      </c>
      <c r="E379" s="46">
        <v>663688.1</v>
      </c>
      <c r="F379" s="3" t="s">
        <v>86</v>
      </c>
      <c r="G379" s="8"/>
      <c r="H379" s="13"/>
      <c r="I379" s="3"/>
      <c r="J379" s="2"/>
      <c r="K379" s="2"/>
      <c r="L379" s="2"/>
      <c r="M379" s="2"/>
    </row>
    <row r="380" spans="1:13" s="45" customFormat="1" ht="24" customHeight="1">
      <c r="A380" s="21"/>
      <c r="B380" s="14" t="s">
        <v>20</v>
      </c>
      <c r="C380" s="14" t="s">
        <v>87</v>
      </c>
      <c r="D380" s="5" t="s">
        <v>35</v>
      </c>
      <c r="E380" s="46">
        <v>650000</v>
      </c>
      <c r="F380" s="3" t="s">
        <v>86</v>
      </c>
      <c r="G380" s="8"/>
      <c r="H380" s="13"/>
      <c r="I380" s="3"/>
      <c r="J380" s="2"/>
      <c r="K380" s="2"/>
      <c r="L380" s="2"/>
      <c r="M380" s="2"/>
    </row>
    <row r="381" spans="1:13" s="45" customFormat="1" ht="24" customHeight="1">
      <c r="A381" s="21"/>
      <c r="B381" s="14" t="s">
        <v>20</v>
      </c>
      <c r="C381" s="14" t="s">
        <v>88</v>
      </c>
      <c r="D381" s="5" t="s">
        <v>35</v>
      </c>
      <c r="E381" s="46">
        <v>6623.29322769602</v>
      </c>
      <c r="F381" s="3" t="s">
        <v>86</v>
      </c>
      <c r="G381" s="8"/>
      <c r="H381" s="13"/>
      <c r="I381" s="3"/>
      <c r="J381" s="2"/>
      <c r="K381" s="2"/>
      <c r="L381" s="2"/>
      <c r="M381" s="2"/>
    </row>
    <row r="382" spans="1:13" ht="24" customHeight="1">
      <c r="A382" s="1" t="s">
        <v>20</v>
      </c>
      <c r="B382" s="2" t="s">
        <v>20</v>
      </c>
      <c r="C382" s="2" t="s">
        <v>20</v>
      </c>
      <c r="D382" s="2"/>
      <c r="E382" s="3" t="s">
        <v>31</v>
      </c>
      <c r="F382" s="3" t="s">
        <v>20</v>
      </c>
      <c r="G382" s="3" t="s">
        <v>20</v>
      </c>
      <c r="H382" s="16">
        <v>24154.460000000006</v>
      </c>
      <c r="I382" s="3" t="s">
        <v>20</v>
      </c>
      <c r="J382" s="2"/>
      <c r="K382" s="2"/>
      <c r="L382" s="2"/>
      <c r="M382" s="2"/>
    </row>
  </sheetData>
  <autoFilter ref="A2:Z382" xr:uid="{688A39DE-83AE-4A24-AFA8-51F2D059A7B1}">
    <filterColumn colId="6">
      <filters blank="1">
        <filter val="-"/>
        <filter val="1,198.40"/>
        <filter val="1,250.00"/>
        <filter val="1,348.20"/>
        <filter val="1,370.10"/>
        <filter val="1,378.20"/>
        <filter val="1,408.10"/>
        <filter val="1,498.00"/>
        <filter val="1,502.00"/>
        <filter val="1,523.00"/>
        <filter val="1,644.80"/>
        <filter val="1,677.80"/>
        <filter val="1,797.60"/>
        <filter val="1,800.00"/>
        <filter val="1,802.40"/>
        <filter val="1,827.60"/>
        <filter val="2,010.40"/>
        <filter val="2,097.20"/>
        <filter val="2,396.80"/>
        <filter val="2,486.70"/>
        <filter val="2,516.60"/>
        <filter val="2,546.60"/>
        <filter val="2,576.60"/>
        <filter val="2,696.40"/>
        <filter val="2,741.40"/>
        <filter val="2,996.00"/>
        <filter val="3,046.00"/>
        <filter val="3,115.80"/>
        <filter val="3,440.00"/>
        <filter val="4,014.60"/>
        <filter val="4,051.20"/>
        <filter val="4,090.00"/>
        <filter val="4,120.00"/>
        <filter val="4,140.00"/>
        <filter val="4,153.70"/>
        <filter val="4,280.00"/>
        <filter val="4,300.00"/>
        <filter val="4,400.00"/>
        <filter val="4,720.00"/>
        <filter val="4,793.60"/>
        <filter val="4,800.00"/>
        <filter val="4,880.00"/>
        <filter val="4,943.40"/>
        <filter val="4,973.40"/>
        <filter val="5,050.00"/>
        <filter val="5,063.20"/>
        <filter val="5,243.00"/>
        <filter val="5,392.80"/>
        <filter val="500.00"/>
        <filter val="7,999.30"/>
        <filter val="8,498.30"/>
        <filter val="958.70"/>
      </filters>
    </filterColumn>
  </autoFilter>
  <conditionalFormatting sqref="H1:H2">
    <cfRule type="colorScale" priority="9">
      <colorScale>
        <cfvo type="num" val="0"/>
        <cfvo type="num" val="0"/>
        <color rgb="FFFF0000"/>
        <color rgb="FF66FF33"/>
      </colorScale>
    </cfRule>
  </conditionalFormatting>
  <conditionalFormatting sqref="H3:H377 H383:H1048576">
    <cfRule type="colorScale" priority="5">
      <colorScale>
        <cfvo type="num" val="0"/>
        <cfvo type="num" val="0"/>
        <color rgb="FFFF0000"/>
        <color rgb="FF66FF33"/>
      </colorScale>
    </cfRule>
  </conditionalFormatting>
  <conditionalFormatting sqref="H378:H381">
    <cfRule type="colorScale" priority="1">
      <colorScale>
        <cfvo type="num" val="0"/>
        <cfvo type="num" val="0"/>
        <color rgb="FFFF0000"/>
        <color rgb="FF66FF33"/>
      </colorScale>
    </cfRule>
  </conditionalFormatting>
  <conditionalFormatting sqref="H382">
    <cfRule type="colorScale" priority="2">
      <colorScale>
        <cfvo type="num" val="0"/>
        <cfvo type="num" val="0"/>
        <color rgb="FFFF0000"/>
        <color rgb="FF66FF33"/>
      </colorScale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AFAD5-B005-417D-8D4B-9E28B3189451}">
  <sheetPr>
    <tabColor rgb="FF66FF33"/>
  </sheetPr>
  <dimension ref="A1:M403"/>
  <sheetViews>
    <sheetView zoomScale="80" zoomScaleNormal="80" workbookViewId="0">
      <pane xSplit="1" ySplit="2" topLeftCell="B99" activePane="bottomRight" state="frozen"/>
      <selection pane="topRight" activeCell="B1" sqref="B1"/>
      <selection pane="bottomLeft" activeCell="A3" sqref="A3"/>
      <selection pane="bottomRight" activeCell="D8" sqref="D8"/>
    </sheetView>
  </sheetViews>
  <sheetFormatPr defaultColWidth="35.7109375" defaultRowHeight="24" customHeight="1"/>
  <cols>
    <col min="1" max="1" width="9.42578125" style="51" customWidth="1"/>
    <col min="2" max="2" width="9.5703125" style="45" customWidth="1"/>
    <col min="3" max="3" width="22.140625" style="45" customWidth="1"/>
    <col min="4" max="4" width="10.85546875" style="45" customWidth="1"/>
    <col min="5" max="5" width="10.85546875" style="52" customWidth="1"/>
    <col min="6" max="6" width="8.42578125" style="52" customWidth="1"/>
    <col min="7" max="7" width="10.28515625" style="52" customWidth="1"/>
    <col min="8" max="8" width="12.42578125" style="50" customWidth="1"/>
    <col min="9" max="9" width="8.140625" style="52" customWidth="1"/>
    <col min="10" max="10" width="22.85546875" style="45" customWidth="1"/>
    <col min="11" max="11" width="22.28515625" style="45" customWidth="1"/>
    <col min="12" max="13" width="18.85546875" style="52" customWidth="1"/>
    <col min="14" max="16384" width="35.7109375" style="45"/>
  </cols>
  <sheetData>
    <row r="1" spans="1:13" ht="27" customHeight="1">
      <c r="A1" s="47"/>
      <c r="B1" s="48"/>
      <c r="C1" s="48"/>
      <c r="D1" s="48"/>
      <c r="E1" s="49"/>
      <c r="F1" s="49"/>
      <c r="G1" s="80" t="s">
        <v>21</v>
      </c>
      <c r="H1" s="80"/>
      <c r="I1" s="80"/>
      <c r="J1" s="48"/>
      <c r="K1" s="48"/>
      <c r="L1" s="49"/>
      <c r="M1" s="49"/>
    </row>
    <row r="2" spans="1:13" ht="24" customHeight="1" thickBot="1">
      <c r="A2" s="47" t="s">
        <v>18</v>
      </c>
      <c r="B2" s="48" t="s">
        <v>22</v>
      </c>
      <c r="C2" s="48" t="s">
        <v>23</v>
      </c>
      <c r="D2" s="48" t="s">
        <v>33</v>
      </c>
      <c r="E2" s="49" t="s">
        <v>24</v>
      </c>
      <c r="F2" s="49" t="s">
        <v>25</v>
      </c>
      <c r="G2" s="49" t="s">
        <v>26</v>
      </c>
      <c r="H2" s="50" t="s">
        <v>27</v>
      </c>
      <c r="I2" s="49" t="s">
        <v>28</v>
      </c>
      <c r="J2" s="48" t="s">
        <v>29</v>
      </c>
      <c r="K2" s="48" t="s">
        <v>0</v>
      </c>
      <c r="L2" s="49" t="s">
        <v>91</v>
      </c>
      <c r="M2" s="49" t="s">
        <v>30</v>
      </c>
    </row>
    <row r="3" spans="1:13" s="5" customFormat="1" ht="24" customHeight="1" thickBot="1">
      <c r="A3" s="1" t="s">
        <v>20</v>
      </c>
      <c r="B3" s="2" t="s">
        <v>20</v>
      </c>
      <c r="C3" s="2" t="s">
        <v>20</v>
      </c>
      <c r="D3" s="2"/>
      <c r="E3" s="3" t="s">
        <v>31</v>
      </c>
      <c r="F3" s="3" t="s">
        <v>20</v>
      </c>
      <c r="G3" s="3" t="s">
        <v>20</v>
      </c>
      <c r="H3" s="13">
        <v>-2476.54</v>
      </c>
      <c r="I3" s="3" t="s">
        <v>20</v>
      </c>
      <c r="J3" s="2"/>
      <c r="K3" s="2"/>
      <c r="L3" s="2"/>
      <c r="M3" s="4"/>
    </row>
    <row r="4" spans="1:13" s="5" customFormat="1" ht="24" customHeight="1" thickBot="1">
      <c r="A4" s="6">
        <v>45992</v>
      </c>
      <c r="B4" s="5" t="s">
        <v>49</v>
      </c>
      <c r="C4" s="5" t="s">
        <v>6</v>
      </c>
      <c r="D4" s="5" t="s">
        <v>35</v>
      </c>
      <c r="E4" s="7">
        <v>162321</v>
      </c>
      <c r="F4" s="3">
        <v>50</v>
      </c>
      <c r="G4" s="53">
        <v>1548</v>
      </c>
      <c r="H4" s="13">
        <v>-4024.54</v>
      </c>
      <c r="I4" s="3">
        <v>30.96</v>
      </c>
      <c r="J4" s="2"/>
      <c r="K4" s="2"/>
      <c r="L4" s="2"/>
      <c r="M4" s="4"/>
    </row>
    <row r="5" spans="1:13" s="5" customFormat="1" ht="24" customHeight="1" thickBot="1">
      <c r="A5" s="6">
        <v>45992</v>
      </c>
      <c r="B5" s="5" t="s">
        <v>41</v>
      </c>
      <c r="C5" s="5" t="s">
        <v>9</v>
      </c>
      <c r="D5" s="5" t="s">
        <v>35</v>
      </c>
      <c r="E5" s="7">
        <v>915824</v>
      </c>
      <c r="F5" s="3">
        <v>59.999999999999993</v>
      </c>
      <c r="G5" s="53">
        <v>1857.6</v>
      </c>
      <c r="H5" s="13">
        <v>-5882.1399999999994</v>
      </c>
      <c r="I5" s="3">
        <v>30.96</v>
      </c>
      <c r="J5" s="2"/>
      <c r="K5" s="2"/>
      <c r="L5" s="2"/>
      <c r="M5" s="4"/>
    </row>
    <row r="6" spans="1:13" s="5" customFormat="1" ht="24" customHeight="1" thickBot="1">
      <c r="A6" s="6">
        <v>45992</v>
      </c>
      <c r="B6" s="5" t="s">
        <v>59</v>
      </c>
      <c r="C6" s="5" t="s">
        <v>11</v>
      </c>
      <c r="D6" s="5" t="s">
        <v>35</v>
      </c>
      <c r="E6" s="7">
        <v>228417</v>
      </c>
      <c r="F6" s="3">
        <v>50</v>
      </c>
      <c r="G6" s="53">
        <v>1548</v>
      </c>
      <c r="H6" s="13">
        <v>-7430.1399999999994</v>
      </c>
      <c r="I6" s="3">
        <v>30.96</v>
      </c>
      <c r="J6" s="2"/>
      <c r="K6" s="2"/>
      <c r="L6" s="2"/>
      <c r="M6" s="4"/>
    </row>
    <row r="7" spans="1:13" s="5" customFormat="1" ht="24" customHeight="1" thickBot="1">
      <c r="A7" s="6">
        <v>45992</v>
      </c>
      <c r="B7" s="5" t="s">
        <v>92</v>
      </c>
      <c r="C7" s="5" t="s">
        <v>8</v>
      </c>
      <c r="D7" s="5" t="s">
        <v>35</v>
      </c>
      <c r="E7" s="7">
        <v>26159</v>
      </c>
      <c r="F7" s="3">
        <v>59.999999999999993</v>
      </c>
      <c r="G7" s="53">
        <v>1857.6</v>
      </c>
      <c r="H7" s="13">
        <v>-9287.74</v>
      </c>
      <c r="I7" s="3">
        <v>30.96</v>
      </c>
      <c r="J7" s="2"/>
      <c r="K7" s="2"/>
      <c r="L7" s="2"/>
      <c r="M7" s="4"/>
    </row>
    <row r="8" spans="1:13" s="5" customFormat="1" ht="24" customHeight="1" thickBot="1">
      <c r="A8" s="6">
        <v>45992</v>
      </c>
      <c r="B8" s="5" t="s">
        <v>42</v>
      </c>
      <c r="C8" s="5" t="s">
        <v>32</v>
      </c>
      <c r="D8" s="5" t="s">
        <v>36</v>
      </c>
      <c r="E8" s="7">
        <v>268125</v>
      </c>
      <c r="F8" s="3">
        <v>50</v>
      </c>
      <c r="G8" s="53">
        <v>1548</v>
      </c>
      <c r="H8" s="13">
        <v>-10835.74</v>
      </c>
      <c r="I8" s="3">
        <v>30.96</v>
      </c>
      <c r="J8" s="2"/>
      <c r="K8" s="2"/>
      <c r="L8" s="2"/>
      <c r="M8" s="4"/>
    </row>
    <row r="9" spans="1:13" s="5" customFormat="1" ht="24" customHeight="1" thickBot="1">
      <c r="A9" s="6">
        <v>45992</v>
      </c>
      <c r="B9" s="5" t="s">
        <v>52</v>
      </c>
      <c r="C9" s="5" t="s">
        <v>4</v>
      </c>
      <c r="D9" s="5" t="s">
        <v>36</v>
      </c>
      <c r="E9" s="7">
        <v>165750</v>
      </c>
      <c r="F9" s="3">
        <v>50</v>
      </c>
      <c r="G9" s="53">
        <v>1548</v>
      </c>
      <c r="H9" s="13">
        <v>-12383.74</v>
      </c>
      <c r="I9" s="3">
        <v>30.96</v>
      </c>
      <c r="J9" s="2"/>
      <c r="K9" s="2"/>
      <c r="L9" s="2"/>
      <c r="M9" s="4"/>
    </row>
    <row r="10" spans="1:13" s="5" customFormat="1" ht="24" customHeight="1" thickBot="1">
      <c r="A10" s="6">
        <v>45992</v>
      </c>
      <c r="B10" s="5" t="s">
        <v>53</v>
      </c>
      <c r="C10" s="5" t="s">
        <v>10</v>
      </c>
      <c r="D10" s="5" t="s">
        <v>34</v>
      </c>
      <c r="E10" s="7">
        <v>287909</v>
      </c>
      <c r="F10" s="3">
        <v>50</v>
      </c>
      <c r="G10" s="53">
        <v>1548</v>
      </c>
      <c r="H10" s="13">
        <v>-13931.74</v>
      </c>
      <c r="I10" s="3">
        <v>30.96</v>
      </c>
      <c r="J10" s="2"/>
      <c r="K10" s="2"/>
      <c r="L10" s="2"/>
      <c r="M10" s="4"/>
    </row>
    <row r="11" spans="1:13" s="5" customFormat="1" ht="24" customHeight="1" thickBot="1">
      <c r="A11" s="6">
        <v>45992</v>
      </c>
      <c r="B11" s="5" t="s">
        <v>51</v>
      </c>
      <c r="C11" s="5" t="s">
        <v>3</v>
      </c>
      <c r="D11" s="5" t="s">
        <v>35</v>
      </c>
      <c r="E11" s="7">
        <v>298077</v>
      </c>
      <c r="F11" s="3">
        <v>50</v>
      </c>
      <c r="G11" s="53">
        <v>1548</v>
      </c>
      <c r="H11" s="13">
        <v>-15479.74</v>
      </c>
      <c r="I11" s="3">
        <v>30.96</v>
      </c>
      <c r="J11" s="2"/>
      <c r="K11" s="2"/>
      <c r="L11" s="2"/>
      <c r="M11" s="4"/>
    </row>
    <row r="12" spans="1:13" s="5" customFormat="1" ht="24" customHeight="1" thickBot="1">
      <c r="A12" s="6">
        <v>45992</v>
      </c>
      <c r="B12" s="5" t="s">
        <v>45</v>
      </c>
      <c r="C12" s="5" t="s">
        <v>7</v>
      </c>
      <c r="D12" s="5" t="s">
        <v>36</v>
      </c>
      <c r="E12" s="7">
        <v>168051</v>
      </c>
      <c r="F12" s="3">
        <v>50</v>
      </c>
      <c r="G12" s="53">
        <v>1548</v>
      </c>
      <c r="H12" s="13">
        <v>-17027.739999999998</v>
      </c>
      <c r="I12" s="3">
        <v>30.96</v>
      </c>
      <c r="J12" s="2"/>
      <c r="K12" s="2"/>
      <c r="L12" s="2"/>
      <c r="M12" s="4"/>
    </row>
    <row r="13" spans="1:13" s="5" customFormat="1" ht="24" customHeight="1" thickBot="1">
      <c r="A13" s="6">
        <v>45992</v>
      </c>
      <c r="B13" s="5" t="s">
        <v>60</v>
      </c>
      <c r="C13" s="5" t="s">
        <v>2</v>
      </c>
      <c r="D13" s="5" t="s">
        <v>35</v>
      </c>
      <c r="E13" s="7">
        <v>142478</v>
      </c>
      <c r="F13" s="3">
        <v>50</v>
      </c>
      <c r="G13" s="53">
        <v>1548</v>
      </c>
      <c r="H13" s="13">
        <v>-18575.739999999998</v>
      </c>
      <c r="I13" s="3">
        <v>30.96</v>
      </c>
      <c r="J13" s="2"/>
      <c r="K13" s="2"/>
      <c r="L13" s="2"/>
      <c r="M13" s="4"/>
    </row>
    <row r="14" spans="1:13" s="55" customFormat="1" ht="24" customHeight="1" thickBot="1">
      <c r="A14" s="54">
        <v>45992</v>
      </c>
      <c r="B14" s="55" t="s">
        <v>56</v>
      </c>
      <c r="C14" s="55" t="s">
        <v>94</v>
      </c>
      <c r="D14" s="55" t="s">
        <v>36</v>
      </c>
      <c r="E14" s="56" t="s">
        <v>20</v>
      </c>
      <c r="F14" s="57">
        <v>140.50387596899225</v>
      </c>
      <c r="G14" s="58">
        <v>4350</v>
      </c>
      <c r="H14" s="13">
        <v>-22925.739999999998</v>
      </c>
      <c r="I14" s="57">
        <v>30.96</v>
      </c>
      <c r="J14" s="59"/>
      <c r="K14" s="59" t="s">
        <v>96</v>
      </c>
      <c r="L14" s="59"/>
      <c r="M14" s="60"/>
    </row>
    <row r="15" spans="1:13" s="5" customFormat="1" ht="24" customHeight="1" thickBot="1">
      <c r="A15" s="6">
        <v>45992</v>
      </c>
      <c r="B15" s="5" t="s">
        <v>50</v>
      </c>
      <c r="C15" s="5" t="s">
        <v>5</v>
      </c>
      <c r="D15" s="5" t="s">
        <v>36</v>
      </c>
      <c r="E15" s="7">
        <v>189343</v>
      </c>
      <c r="F15" s="3">
        <v>50</v>
      </c>
      <c r="G15" s="53">
        <v>1548</v>
      </c>
      <c r="H15" s="13">
        <v>-24473.739999999998</v>
      </c>
      <c r="I15" s="3">
        <v>30.96</v>
      </c>
      <c r="J15" s="2"/>
      <c r="K15" s="2"/>
      <c r="L15" s="2"/>
      <c r="M15" s="4"/>
    </row>
    <row r="16" spans="1:13" s="5" customFormat="1" ht="24" customHeight="1" thickBot="1">
      <c r="A16" s="6">
        <v>45992</v>
      </c>
      <c r="B16" s="5" t="s">
        <v>39</v>
      </c>
      <c r="C16" s="5" t="s">
        <v>40</v>
      </c>
      <c r="D16" s="5" t="s">
        <v>34</v>
      </c>
      <c r="E16" s="7" t="s">
        <v>20</v>
      </c>
      <c r="F16" s="3">
        <v>16.14987080103359</v>
      </c>
      <c r="G16" s="53">
        <v>500</v>
      </c>
      <c r="H16" s="13">
        <v>-24973.739999999998</v>
      </c>
      <c r="I16" s="3">
        <v>30.96</v>
      </c>
      <c r="J16" s="2"/>
      <c r="K16" s="2"/>
      <c r="L16" s="2"/>
      <c r="M16" s="4"/>
    </row>
    <row r="17" spans="1:13" s="5" customFormat="1" ht="24" customHeight="1" thickBot="1">
      <c r="A17" s="6">
        <v>45992</v>
      </c>
      <c r="B17" s="5" t="s">
        <v>43</v>
      </c>
      <c r="C17" s="5" t="s">
        <v>1</v>
      </c>
      <c r="D17" s="5" t="s">
        <v>36</v>
      </c>
      <c r="E17" s="7">
        <v>163063</v>
      </c>
      <c r="F17" s="3">
        <v>50</v>
      </c>
      <c r="G17" s="53">
        <v>1548</v>
      </c>
      <c r="H17" s="13">
        <v>-26521.739999999998</v>
      </c>
      <c r="I17" s="3">
        <v>30.96</v>
      </c>
      <c r="J17" s="2"/>
      <c r="K17" s="2"/>
      <c r="L17" s="2"/>
      <c r="M17" s="4"/>
    </row>
    <row r="18" spans="1:13" s="5" customFormat="1" ht="24" customHeight="1" thickBot="1">
      <c r="A18" s="6">
        <v>45992</v>
      </c>
      <c r="B18" s="5" t="s">
        <v>55</v>
      </c>
      <c r="C18" s="5" t="s">
        <v>15</v>
      </c>
      <c r="D18" s="5" t="s">
        <v>35</v>
      </c>
      <c r="E18" s="7">
        <v>274763</v>
      </c>
      <c r="F18" s="3">
        <v>33.998708010335911</v>
      </c>
      <c r="G18" s="53">
        <v>1052.5999999999999</v>
      </c>
      <c r="H18" s="13">
        <v>-27574.339999999997</v>
      </c>
      <c r="I18" s="3">
        <v>30.96</v>
      </c>
      <c r="J18" s="2"/>
      <c r="K18" s="2"/>
      <c r="L18" s="2"/>
      <c r="M18" s="4"/>
    </row>
    <row r="19" spans="1:13" s="5" customFormat="1" ht="24" customHeight="1" thickBot="1">
      <c r="A19" s="6">
        <v>45992</v>
      </c>
      <c r="B19" s="5" t="s">
        <v>48</v>
      </c>
      <c r="C19" s="5" t="s">
        <v>17</v>
      </c>
      <c r="D19" s="5" t="s">
        <v>36</v>
      </c>
      <c r="E19" s="7">
        <v>152469</v>
      </c>
      <c r="F19" s="3">
        <v>50</v>
      </c>
      <c r="G19" s="53">
        <v>1548</v>
      </c>
      <c r="H19" s="13">
        <v>-29122.339999999997</v>
      </c>
      <c r="I19" s="3">
        <v>30.96</v>
      </c>
      <c r="J19" s="2"/>
      <c r="K19" s="2"/>
      <c r="L19" s="2"/>
      <c r="M19" s="4"/>
    </row>
    <row r="20" spans="1:13" s="5" customFormat="1" ht="24" customHeight="1" thickBot="1">
      <c r="A20" s="6">
        <v>45992</v>
      </c>
      <c r="B20" s="5" t="s">
        <v>49</v>
      </c>
      <c r="C20" s="5" t="s">
        <v>6</v>
      </c>
      <c r="D20" s="5" t="s">
        <v>36</v>
      </c>
      <c r="E20" s="7">
        <v>162475</v>
      </c>
      <c r="F20" s="3">
        <v>50</v>
      </c>
      <c r="G20" s="53">
        <v>1548</v>
      </c>
      <c r="H20" s="13">
        <v>-30670.339999999997</v>
      </c>
      <c r="I20" s="3">
        <v>30.96</v>
      </c>
      <c r="J20" s="2"/>
      <c r="K20" s="2"/>
      <c r="L20" s="2"/>
      <c r="M20" s="4"/>
    </row>
    <row r="21" spans="1:13" s="5" customFormat="1" ht="24" customHeight="1" thickBot="1">
      <c r="A21" s="6">
        <v>45993</v>
      </c>
      <c r="B21" s="5" t="s">
        <v>50</v>
      </c>
      <c r="C21" s="5" t="s">
        <v>5</v>
      </c>
      <c r="D21" s="5" t="s">
        <v>35</v>
      </c>
      <c r="E21" s="7">
        <v>189481</v>
      </c>
      <c r="F21" s="3">
        <v>50</v>
      </c>
      <c r="G21" s="53">
        <v>1548</v>
      </c>
      <c r="H21" s="13">
        <v>-32218.339999999997</v>
      </c>
      <c r="I21" s="3">
        <v>30.96</v>
      </c>
      <c r="J21" s="2"/>
      <c r="K21" s="2"/>
      <c r="L21" s="2"/>
      <c r="M21" s="4"/>
    </row>
    <row r="22" spans="1:13" s="5" customFormat="1" ht="24" customHeight="1" thickBot="1">
      <c r="A22" s="6">
        <v>45993</v>
      </c>
      <c r="B22" s="5" t="s">
        <v>43</v>
      </c>
      <c r="C22" s="5" t="s">
        <v>1</v>
      </c>
      <c r="D22" s="5" t="s">
        <v>35</v>
      </c>
      <c r="E22" s="7">
        <v>163175</v>
      </c>
      <c r="F22" s="3">
        <v>50</v>
      </c>
      <c r="G22" s="53">
        <v>1548</v>
      </c>
      <c r="H22" s="13">
        <v>-33766.339999999997</v>
      </c>
      <c r="I22" s="3">
        <v>30.96</v>
      </c>
      <c r="J22" s="2"/>
      <c r="K22" s="2"/>
      <c r="L22" s="2"/>
      <c r="M22" s="4"/>
    </row>
    <row r="23" spans="1:13" s="5" customFormat="1" ht="24" customHeight="1" thickBot="1">
      <c r="A23" s="6">
        <v>45993</v>
      </c>
      <c r="B23" s="14" t="s">
        <v>20</v>
      </c>
      <c r="C23" s="14" t="s">
        <v>20</v>
      </c>
      <c r="D23" s="14" t="s">
        <v>20</v>
      </c>
      <c r="E23" s="15" t="s">
        <v>65</v>
      </c>
      <c r="F23" s="3"/>
      <c r="G23" s="53">
        <v>-65000</v>
      </c>
      <c r="H23" s="13">
        <v>31233.660000000003</v>
      </c>
      <c r="I23" s="3">
        <v>30.96</v>
      </c>
      <c r="J23" s="2" t="s">
        <v>97</v>
      </c>
      <c r="K23" s="2"/>
      <c r="L23" s="2"/>
      <c r="M23" s="4"/>
    </row>
    <row r="24" spans="1:13" s="5" customFormat="1" ht="24" customHeight="1" thickBot="1">
      <c r="A24" s="6">
        <v>45993</v>
      </c>
      <c r="B24" s="5" t="s">
        <v>53</v>
      </c>
      <c r="C24" s="5" t="s">
        <v>10</v>
      </c>
      <c r="D24" s="5" t="s">
        <v>36</v>
      </c>
      <c r="E24" s="7">
        <v>287991</v>
      </c>
      <c r="F24" s="3">
        <v>50</v>
      </c>
      <c r="G24" s="53">
        <v>1548</v>
      </c>
      <c r="H24" s="13">
        <v>29685.660000000003</v>
      </c>
      <c r="I24" s="3">
        <v>30.96</v>
      </c>
      <c r="J24" s="2"/>
      <c r="K24" s="2"/>
      <c r="L24" s="2"/>
      <c r="M24" s="4"/>
    </row>
    <row r="25" spans="1:13" s="5" customFormat="1" ht="24" customHeight="1" thickBot="1">
      <c r="A25" s="6">
        <v>45993</v>
      </c>
      <c r="B25" s="5" t="s">
        <v>51</v>
      </c>
      <c r="C25" s="5" t="s">
        <v>3</v>
      </c>
      <c r="D25" s="5" t="s">
        <v>34</v>
      </c>
      <c r="E25" s="7">
        <v>298193</v>
      </c>
      <c r="F25" s="3">
        <v>50</v>
      </c>
      <c r="G25" s="53">
        <v>1548</v>
      </c>
      <c r="H25" s="13">
        <v>28137.660000000003</v>
      </c>
      <c r="I25" s="3">
        <v>30.96</v>
      </c>
      <c r="J25" s="2"/>
      <c r="K25" s="2"/>
      <c r="L25" s="2"/>
      <c r="M25" s="4"/>
    </row>
    <row r="26" spans="1:13" s="5" customFormat="1" ht="24" customHeight="1" thickBot="1">
      <c r="A26" s="6">
        <v>45993</v>
      </c>
      <c r="B26" s="5" t="s">
        <v>60</v>
      </c>
      <c r="C26" s="5" t="s">
        <v>2</v>
      </c>
      <c r="D26" s="5" t="s">
        <v>35</v>
      </c>
      <c r="E26" s="7">
        <v>142631</v>
      </c>
      <c r="F26" s="3">
        <v>50</v>
      </c>
      <c r="G26" s="53">
        <v>1548</v>
      </c>
      <c r="H26" s="13">
        <v>26589.660000000003</v>
      </c>
      <c r="I26" s="3">
        <v>30.96</v>
      </c>
      <c r="J26" s="2"/>
      <c r="K26" s="2"/>
      <c r="L26" s="2"/>
      <c r="M26" s="4"/>
    </row>
    <row r="27" spans="1:13" s="5" customFormat="1" ht="24" customHeight="1" thickBot="1">
      <c r="A27" s="6">
        <v>45993</v>
      </c>
      <c r="B27" s="5" t="s">
        <v>57</v>
      </c>
      <c r="C27" s="5" t="s">
        <v>12</v>
      </c>
      <c r="D27" s="5" t="s">
        <v>36</v>
      </c>
      <c r="E27" s="7">
        <v>164643</v>
      </c>
      <c r="F27" s="3">
        <v>69.999999999999986</v>
      </c>
      <c r="G27" s="53">
        <v>2167.1999999999998</v>
      </c>
      <c r="H27" s="13">
        <v>24422.460000000003</v>
      </c>
      <c r="I27" s="3">
        <v>30.96</v>
      </c>
      <c r="J27" s="2"/>
      <c r="K27" s="2"/>
      <c r="L27" s="2"/>
      <c r="M27" s="4"/>
    </row>
    <row r="28" spans="1:13" s="5" customFormat="1" ht="24" customHeight="1" thickBot="1">
      <c r="A28" s="6">
        <v>45993</v>
      </c>
      <c r="B28" s="5" t="s">
        <v>54</v>
      </c>
      <c r="C28" s="5" t="s">
        <v>16</v>
      </c>
      <c r="D28" s="5" t="s">
        <v>36</v>
      </c>
      <c r="E28" s="7">
        <v>226810</v>
      </c>
      <c r="F28" s="3">
        <v>69.999999999999986</v>
      </c>
      <c r="G28" s="53">
        <v>2167.1999999999998</v>
      </c>
      <c r="H28" s="13">
        <v>22255.260000000002</v>
      </c>
      <c r="I28" s="3">
        <v>30.96</v>
      </c>
      <c r="J28" s="2"/>
      <c r="K28" s="2"/>
      <c r="L28" s="2"/>
      <c r="M28" s="4"/>
    </row>
    <row r="29" spans="1:13" s="55" customFormat="1" ht="24" customHeight="1" thickBot="1">
      <c r="A29" s="54">
        <v>45993</v>
      </c>
      <c r="B29" s="55" t="s">
        <v>63</v>
      </c>
      <c r="C29" s="55" t="s">
        <v>13</v>
      </c>
      <c r="D29" s="55" t="s">
        <v>36</v>
      </c>
      <c r="E29" s="56">
        <v>246812</v>
      </c>
      <c r="F29" s="3">
        <v>153.99870801033592</v>
      </c>
      <c r="G29" s="58">
        <v>4767.8</v>
      </c>
      <c r="H29" s="13">
        <v>17487.460000000003</v>
      </c>
      <c r="I29" s="57">
        <v>30.96</v>
      </c>
      <c r="J29" s="59"/>
      <c r="K29" s="59" t="s">
        <v>95</v>
      </c>
      <c r="L29" s="59"/>
      <c r="M29" s="60"/>
    </row>
    <row r="30" spans="1:13" s="5" customFormat="1" ht="24" customHeight="1" thickBot="1">
      <c r="A30" s="6">
        <v>45993</v>
      </c>
      <c r="B30" s="5" t="s">
        <v>59</v>
      </c>
      <c r="C30" s="5" t="s">
        <v>11</v>
      </c>
      <c r="D30" s="5" t="s">
        <v>36</v>
      </c>
      <c r="E30" s="7">
        <v>228567</v>
      </c>
      <c r="F30" s="3">
        <v>69.999999999999986</v>
      </c>
      <c r="G30" s="53">
        <v>2167.1999999999998</v>
      </c>
      <c r="H30" s="13">
        <v>15320.260000000002</v>
      </c>
      <c r="I30" s="3">
        <v>30.96</v>
      </c>
      <c r="J30" s="2"/>
      <c r="K30" s="2"/>
      <c r="L30" s="2"/>
      <c r="M30" s="4"/>
    </row>
    <row r="31" spans="1:13" s="5" customFormat="1" ht="24" customHeight="1" thickBot="1">
      <c r="A31" s="6">
        <v>45993</v>
      </c>
      <c r="B31" s="5" t="s">
        <v>45</v>
      </c>
      <c r="C31" s="5" t="s">
        <v>7</v>
      </c>
      <c r="D31" s="5" t="s">
        <v>36</v>
      </c>
      <c r="E31" s="7">
        <v>168222</v>
      </c>
      <c r="F31" s="3">
        <v>69.999999999999986</v>
      </c>
      <c r="G31" s="53">
        <v>2167.1999999999998</v>
      </c>
      <c r="H31" s="13">
        <v>13153.060000000001</v>
      </c>
      <c r="I31" s="3">
        <v>30.96</v>
      </c>
      <c r="J31" s="2"/>
      <c r="K31" s="2"/>
      <c r="L31" s="2"/>
      <c r="M31" s="4"/>
    </row>
    <row r="32" spans="1:13" s="5" customFormat="1" ht="24" customHeight="1" thickBot="1">
      <c r="A32" s="6">
        <v>45993</v>
      </c>
      <c r="B32" s="5" t="s">
        <v>52</v>
      </c>
      <c r="C32" s="5" t="s">
        <v>4</v>
      </c>
      <c r="D32" s="5" t="s">
        <v>36</v>
      </c>
      <c r="E32" s="7">
        <v>165816</v>
      </c>
      <c r="F32" s="3">
        <v>50</v>
      </c>
      <c r="G32" s="53">
        <v>1548</v>
      </c>
      <c r="H32" s="13">
        <v>11605.060000000001</v>
      </c>
      <c r="I32" s="3">
        <v>30.96</v>
      </c>
      <c r="J32" s="2"/>
      <c r="K32" s="2"/>
      <c r="L32" s="2"/>
      <c r="M32" s="4"/>
    </row>
    <row r="33" spans="1:13" s="5" customFormat="1" ht="24" customHeight="1" thickBot="1">
      <c r="A33" s="6">
        <v>45994</v>
      </c>
      <c r="B33" s="5" t="s">
        <v>48</v>
      </c>
      <c r="C33" s="5" t="s">
        <v>17</v>
      </c>
      <c r="D33" s="5" t="s">
        <v>35</v>
      </c>
      <c r="E33" s="7">
        <v>152739</v>
      </c>
      <c r="F33" s="3">
        <v>50</v>
      </c>
      <c r="G33" s="53">
        <v>1548</v>
      </c>
      <c r="H33" s="13">
        <v>10057.060000000001</v>
      </c>
      <c r="I33" s="3">
        <v>30.96</v>
      </c>
      <c r="J33" s="2"/>
      <c r="K33" s="2"/>
      <c r="L33" s="2"/>
      <c r="M33" s="4"/>
    </row>
    <row r="34" spans="1:13" s="5" customFormat="1" ht="24" customHeight="1" thickBot="1">
      <c r="A34" s="6">
        <v>45994</v>
      </c>
      <c r="B34" s="5" t="s">
        <v>53</v>
      </c>
      <c r="C34" s="5" t="s">
        <v>10</v>
      </c>
      <c r="D34" s="5" t="s">
        <v>34</v>
      </c>
      <c r="E34" s="7">
        <v>288110</v>
      </c>
      <c r="F34" s="3">
        <v>50</v>
      </c>
      <c r="G34" s="53">
        <v>1548</v>
      </c>
      <c r="H34" s="13">
        <v>8509.0600000000013</v>
      </c>
      <c r="I34" s="3">
        <v>30.96</v>
      </c>
      <c r="J34" s="2"/>
      <c r="K34" s="2"/>
      <c r="L34" s="2"/>
      <c r="M34" s="4"/>
    </row>
    <row r="35" spans="1:13" s="5" customFormat="1" ht="24" customHeight="1" thickBot="1">
      <c r="A35" s="6">
        <v>45994</v>
      </c>
      <c r="B35" s="5" t="s">
        <v>51</v>
      </c>
      <c r="C35" s="5" t="s">
        <v>3</v>
      </c>
      <c r="D35" s="5" t="s">
        <v>35</v>
      </c>
      <c r="E35" s="7">
        <v>298361</v>
      </c>
      <c r="F35" s="3">
        <v>50</v>
      </c>
      <c r="G35" s="53">
        <v>1548</v>
      </c>
      <c r="H35" s="13">
        <v>6961.0600000000013</v>
      </c>
      <c r="I35" s="3">
        <v>30.96</v>
      </c>
      <c r="J35" s="2"/>
      <c r="K35" s="2"/>
      <c r="L35" s="2"/>
      <c r="M35" s="4"/>
    </row>
    <row r="36" spans="1:13" s="5" customFormat="1" ht="24" customHeight="1" thickBot="1">
      <c r="A36" s="6">
        <v>45994</v>
      </c>
      <c r="B36" s="5" t="s">
        <v>92</v>
      </c>
      <c r="C36" s="5" t="s">
        <v>8</v>
      </c>
      <c r="D36" s="5" t="s">
        <v>36</v>
      </c>
      <c r="E36" s="7">
        <v>26274</v>
      </c>
      <c r="F36" s="3">
        <v>59.999999999999993</v>
      </c>
      <c r="G36" s="53">
        <v>1857.6</v>
      </c>
      <c r="H36" s="13">
        <v>5103.4600000000009</v>
      </c>
      <c r="I36" s="3">
        <v>30.96</v>
      </c>
      <c r="J36" s="2"/>
      <c r="K36" s="2"/>
      <c r="L36" s="2"/>
      <c r="M36" s="4"/>
    </row>
    <row r="37" spans="1:13" s="5" customFormat="1" ht="24" customHeight="1" thickBot="1">
      <c r="A37" s="6">
        <v>45994</v>
      </c>
      <c r="B37" s="5" t="s">
        <v>61</v>
      </c>
      <c r="C37" s="5" t="s">
        <v>62</v>
      </c>
      <c r="D37" s="5" t="s">
        <v>35</v>
      </c>
      <c r="E37" s="7">
        <v>818313</v>
      </c>
      <c r="F37" s="3">
        <v>281.99935400516796</v>
      </c>
      <c r="G37" s="53">
        <v>8730.7000000000007</v>
      </c>
      <c r="H37" s="13">
        <v>-3627.24</v>
      </c>
      <c r="I37" s="3">
        <v>30.96</v>
      </c>
      <c r="J37" s="2"/>
      <c r="K37" s="2"/>
      <c r="L37" s="2"/>
      <c r="M37" s="4"/>
    </row>
    <row r="38" spans="1:13" s="5" customFormat="1" ht="24" customHeight="1" thickBot="1">
      <c r="A38" s="6">
        <v>45994</v>
      </c>
      <c r="B38" s="5" t="s">
        <v>50</v>
      </c>
      <c r="C38" s="5" t="s">
        <v>5</v>
      </c>
      <c r="D38" s="5" t="s">
        <v>36</v>
      </c>
      <c r="E38" s="7">
        <v>189630</v>
      </c>
      <c r="F38" s="3">
        <v>50</v>
      </c>
      <c r="G38" s="53">
        <v>1548</v>
      </c>
      <c r="H38" s="13">
        <v>-5175.24</v>
      </c>
      <c r="I38" s="3">
        <v>30.96</v>
      </c>
      <c r="J38" s="2"/>
      <c r="K38" s="2"/>
      <c r="L38" s="2"/>
      <c r="M38" s="4"/>
    </row>
    <row r="39" spans="1:13" s="5" customFormat="1" ht="24" customHeight="1" thickBot="1">
      <c r="A39" s="6">
        <v>45994</v>
      </c>
      <c r="B39" s="5" t="s">
        <v>41</v>
      </c>
      <c r="C39" s="5" t="s">
        <v>9</v>
      </c>
      <c r="D39" s="5" t="s">
        <v>36</v>
      </c>
      <c r="E39" s="7">
        <v>915957</v>
      </c>
      <c r="F39" s="3">
        <v>59.999999999999993</v>
      </c>
      <c r="G39" s="53">
        <v>1857.6</v>
      </c>
      <c r="H39" s="13">
        <v>-7032.84</v>
      </c>
      <c r="I39" s="3">
        <v>30.96</v>
      </c>
      <c r="J39" s="2"/>
      <c r="K39" s="2"/>
      <c r="L39" s="2"/>
      <c r="M39" s="4"/>
    </row>
    <row r="40" spans="1:13" s="5" customFormat="1" ht="24" customHeight="1" thickBot="1">
      <c r="A40" s="6">
        <v>45994</v>
      </c>
      <c r="B40" s="5" t="s">
        <v>49</v>
      </c>
      <c r="C40" s="5" t="s">
        <v>6</v>
      </c>
      <c r="D40" s="5" t="s">
        <v>36</v>
      </c>
      <c r="E40" s="7">
        <v>162597</v>
      </c>
      <c r="F40" s="3">
        <v>50</v>
      </c>
      <c r="G40" s="53">
        <v>1548</v>
      </c>
      <c r="H40" s="13">
        <v>-8580.84</v>
      </c>
      <c r="I40" s="3">
        <v>30.96</v>
      </c>
      <c r="J40" s="2"/>
      <c r="K40" s="2"/>
      <c r="L40" s="2"/>
      <c r="M40" s="4"/>
    </row>
    <row r="41" spans="1:13" s="5" customFormat="1" ht="24" customHeight="1" thickBot="1">
      <c r="A41" s="6">
        <v>45994</v>
      </c>
      <c r="B41" s="5" t="s">
        <v>54</v>
      </c>
      <c r="C41" s="5" t="s">
        <v>16</v>
      </c>
      <c r="D41" s="5" t="s">
        <v>35</v>
      </c>
      <c r="E41" s="7">
        <v>227001</v>
      </c>
      <c r="F41" s="3">
        <v>50</v>
      </c>
      <c r="G41" s="53">
        <v>1548</v>
      </c>
      <c r="H41" s="13">
        <v>-10128.84</v>
      </c>
      <c r="I41" s="3">
        <v>30.96</v>
      </c>
      <c r="J41" s="2"/>
      <c r="K41" s="2"/>
      <c r="L41" s="2"/>
      <c r="M41" s="4"/>
    </row>
    <row r="42" spans="1:13" s="5" customFormat="1" ht="24" customHeight="1" thickBot="1">
      <c r="A42" s="6">
        <v>45994</v>
      </c>
      <c r="B42" s="5" t="s">
        <v>55</v>
      </c>
      <c r="C42" s="5" t="s">
        <v>15</v>
      </c>
      <c r="D42" s="5" t="s">
        <v>35</v>
      </c>
      <c r="E42" s="7">
        <v>275046</v>
      </c>
      <c r="F42" s="3">
        <v>50</v>
      </c>
      <c r="G42" s="53">
        <v>1548</v>
      </c>
      <c r="H42" s="13">
        <v>-11676.84</v>
      </c>
      <c r="I42" s="3">
        <v>30.96</v>
      </c>
      <c r="J42" s="2"/>
      <c r="K42" s="2"/>
      <c r="L42" s="2"/>
      <c r="M42" s="4"/>
    </row>
    <row r="43" spans="1:13" s="5" customFormat="1" ht="24" customHeight="1" thickBot="1">
      <c r="A43" s="6">
        <v>45994</v>
      </c>
      <c r="B43" s="5" t="s">
        <v>44</v>
      </c>
      <c r="C43" s="5" t="s">
        <v>14</v>
      </c>
      <c r="D43" s="5" t="s">
        <v>35</v>
      </c>
      <c r="E43" s="7">
        <v>671922</v>
      </c>
      <c r="F43" s="3">
        <v>59.999999999999993</v>
      </c>
      <c r="G43" s="53">
        <v>1857.6</v>
      </c>
      <c r="H43" s="13">
        <v>-13534.44</v>
      </c>
      <c r="I43" s="3">
        <v>30.96</v>
      </c>
      <c r="J43" s="2"/>
      <c r="K43" s="2"/>
      <c r="L43" s="2"/>
      <c r="M43" s="4"/>
    </row>
    <row r="44" spans="1:13" s="5" customFormat="1" ht="24" customHeight="1" thickBot="1">
      <c r="A44" s="6">
        <v>45994</v>
      </c>
      <c r="B44" s="5" t="s">
        <v>39</v>
      </c>
      <c r="C44" s="5" t="s">
        <v>40</v>
      </c>
      <c r="D44" s="5" t="s">
        <v>34</v>
      </c>
      <c r="E44" s="7" t="s">
        <v>20</v>
      </c>
      <c r="F44" s="3">
        <v>16.14987080103359</v>
      </c>
      <c r="G44" s="53">
        <v>500</v>
      </c>
      <c r="H44" s="13">
        <v>-14034.44</v>
      </c>
      <c r="I44" s="3">
        <v>30.96</v>
      </c>
      <c r="J44" s="2"/>
      <c r="K44" s="2"/>
      <c r="L44" s="2"/>
      <c r="M44" s="4"/>
    </row>
    <row r="45" spans="1:13" s="5" customFormat="1" ht="24" customHeight="1" thickBot="1">
      <c r="A45" s="6">
        <v>45994</v>
      </c>
      <c r="B45" s="5" t="s">
        <v>45</v>
      </c>
      <c r="C45" s="5" t="s">
        <v>7</v>
      </c>
      <c r="D45" s="5" t="s">
        <v>38</v>
      </c>
      <c r="E45" s="7">
        <v>169454</v>
      </c>
      <c r="F45" s="3">
        <v>119.99999999999999</v>
      </c>
      <c r="G45" s="53">
        <v>3715.2</v>
      </c>
      <c r="H45" s="13">
        <v>-17749.64</v>
      </c>
      <c r="I45" s="3">
        <v>30.96</v>
      </c>
      <c r="J45" s="2"/>
      <c r="K45" s="2"/>
      <c r="L45" s="2"/>
      <c r="M45" s="4"/>
    </row>
    <row r="46" spans="1:13" s="5" customFormat="1" ht="24" customHeight="1" thickBot="1">
      <c r="A46" s="6">
        <v>45995</v>
      </c>
      <c r="B46" s="5" t="s">
        <v>52</v>
      </c>
      <c r="C46" s="5" t="s">
        <v>4</v>
      </c>
      <c r="D46" s="5" t="s">
        <v>35</v>
      </c>
      <c r="E46" s="7">
        <v>166032</v>
      </c>
      <c r="F46" s="3">
        <v>50</v>
      </c>
      <c r="G46" s="53">
        <v>1548</v>
      </c>
      <c r="H46" s="13">
        <v>-19297.64</v>
      </c>
      <c r="I46" s="3">
        <v>30.96</v>
      </c>
      <c r="J46" s="2"/>
      <c r="K46" s="2"/>
      <c r="L46" s="2"/>
      <c r="M46" s="4"/>
    </row>
    <row r="47" spans="1:13" s="5" customFormat="1" ht="24" customHeight="1" thickBot="1">
      <c r="A47" s="6">
        <v>45995</v>
      </c>
      <c r="B47" s="5" t="s">
        <v>54</v>
      </c>
      <c r="C47" s="5" t="s">
        <v>16</v>
      </c>
      <c r="D47" s="5" t="s">
        <v>36</v>
      </c>
      <c r="E47" s="7">
        <v>227145</v>
      </c>
      <c r="F47" s="3">
        <v>90</v>
      </c>
      <c r="G47" s="53">
        <v>2786.4</v>
      </c>
      <c r="H47" s="13">
        <v>-22084.04</v>
      </c>
      <c r="I47" s="3">
        <v>30.96</v>
      </c>
      <c r="J47" s="2"/>
      <c r="K47" s="2"/>
      <c r="L47" s="2"/>
      <c r="M47" s="4"/>
    </row>
    <row r="48" spans="1:13" s="5" customFormat="1" ht="24" customHeight="1" thickBot="1">
      <c r="A48" s="6">
        <v>45995</v>
      </c>
      <c r="B48" s="5" t="s">
        <v>48</v>
      </c>
      <c r="C48" s="5" t="s">
        <v>17</v>
      </c>
      <c r="D48" s="5" t="s">
        <v>36</v>
      </c>
      <c r="E48" s="7">
        <v>152910</v>
      </c>
      <c r="F48" s="3">
        <v>69.999999999999986</v>
      </c>
      <c r="G48" s="53">
        <v>2167.1999999999998</v>
      </c>
      <c r="H48" s="13">
        <v>-24251.24</v>
      </c>
      <c r="I48" s="3">
        <v>30.96</v>
      </c>
      <c r="J48" s="2"/>
      <c r="K48" s="2"/>
      <c r="L48" s="2"/>
      <c r="M48" s="4"/>
    </row>
    <row r="49" spans="1:13" s="5" customFormat="1" ht="24" customHeight="1" thickBot="1">
      <c r="A49" s="6">
        <v>45995</v>
      </c>
      <c r="B49" s="5" t="s">
        <v>49</v>
      </c>
      <c r="C49" s="5" t="s">
        <v>6</v>
      </c>
      <c r="D49" s="5" t="s">
        <v>36</v>
      </c>
      <c r="E49" s="7">
        <v>162728</v>
      </c>
      <c r="F49" s="3">
        <v>69.999999999999986</v>
      </c>
      <c r="G49" s="53">
        <v>2167.1999999999998</v>
      </c>
      <c r="H49" s="13">
        <v>-26418.440000000002</v>
      </c>
      <c r="I49" s="3">
        <v>30.96</v>
      </c>
      <c r="J49" s="2"/>
      <c r="K49" s="2"/>
      <c r="L49" s="2"/>
      <c r="M49" s="4"/>
    </row>
    <row r="50" spans="1:13" s="5" customFormat="1" ht="24" customHeight="1" thickBot="1">
      <c r="A50" s="6">
        <v>45995</v>
      </c>
      <c r="B50" s="5" t="s">
        <v>57</v>
      </c>
      <c r="C50" s="5" t="s">
        <v>12</v>
      </c>
      <c r="D50" s="5" t="s">
        <v>36</v>
      </c>
      <c r="E50" s="7">
        <v>164834</v>
      </c>
      <c r="F50" s="3">
        <v>69.999999999999986</v>
      </c>
      <c r="G50" s="53">
        <v>2167.1999999999998</v>
      </c>
      <c r="H50" s="13">
        <v>-28585.640000000003</v>
      </c>
      <c r="I50" s="3">
        <v>30.96</v>
      </c>
      <c r="J50" s="2"/>
      <c r="K50" s="2"/>
      <c r="L50" s="2"/>
      <c r="M50" s="4"/>
    </row>
    <row r="51" spans="1:13" s="5" customFormat="1" ht="24" customHeight="1" thickBot="1">
      <c r="A51" s="6">
        <v>45995</v>
      </c>
      <c r="B51" s="5" t="s">
        <v>59</v>
      </c>
      <c r="C51" s="5" t="s">
        <v>11</v>
      </c>
      <c r="D51" s="5" t="s">
        <v>36</v>
      </c>
      <c r="E51" s="7">
        <v>228942</v>
      </c>
      <c r="F51" s="3">
        <v>69.999999999999986</v>
      </c>
      <c r="G51" s="53">
        <v>2167.1999999999998</v>
      </c>
      <c r="H51" s="13">
        <v>-30752.840000000004</v>
      </c>
      <c r="I51" s="3">
        <v>30.96</v>
      </c>
      <c r="J51" s="2"/>
      <c r="K51" s="2"/>
      <c r="L51" s="2"/>
      <c r="M51" s="4"/>
    </row>
    <row r="52" spans="1:13" s="5" customFormat="1" ht="24" customHeight="1" thickBot="1">
      <c r="A52" s="6">
        <v>45995</v>
      </c>
      <c r="B52" s="5" t="s">
        <v>51</v>
      </c>
      <c r="C52" s="5" t="s">
        <v>3</v>
      </c>
      <c r="D52" s="5" t="s">
        <v>35</v>
      </c>
      <c r="E52" s="7">
        <v>298508</v>
      </c>
      <c r="F52" s="3">
        <v>50</v>
      </c>
      <c r="G52" s="53">
        <v>1548</v>
      </c>
      <c r="H52" s="13">
        <v>-32300.840000000004</v>
      </c>
      <c r="I52" s="3">
        <v>30.96</v>
      </c>
      <c r="J52" s="2"/>
      <c r="K52" s="2"/>
      <c r="L52" s="2"/>
      <c r="M52" s="4"/>
    </row>
    <row r="53" spans="1:13" s="5" customFormat="1" ht="24" customHeight="1" thickBot="1">
      <c r="A53" s="6">
        <v>45995</v>
      </c>
      <c r="B53" s="5" t="s">
        <v>42</v>
      </c>
      <c r="C53" s="5" t="s">
        <v>32</v>
      </c>
      <c r="D53" s="5" t="s">
        <v>35</v>
      </c>
      <c r="E53" s="7">
        <v>268371</v>
      </c>
      <c r="F53" s="3">
        <v>50</v>
      </c>
      <c r="G53" s="53">
        <v>1548</v>
      </c>
      <c r="H53" s="13">
        <v>-33848.840000000004</v>
      </c>
      <c r="I53" s="3">
        <v>30.96</v>
      </c>
      <c r="J53" s="2"/>
      <c r="K53" s="2"/>
      <c r="L53" s="2"/>
      <c r="M53" s="4"/>
    </row>
    <row r="54" spans="1:13" s="5" customFormat="1" ht="24" customHeight="1" thickBot="1">
      <c r="A54" s="6">
        <v>45995</v>
      </c>
      <c r="B54" s="5" t="s">
        <v>53</v>
      </c>
      <c r="C54" s="5" t="s">
        <v>10</v>
      </c>
      <c r="D54" s="5" t="s">
        <v>34</v>
      </c>
      <c r="E54" s="7">
        <v>288283</v>
      </c>
      <c r="F54" s="3">
        <v>65</v>
      </c>
      <c r="G54" s="53">
        <v>2012.4</v>
      </c>
      <c r="H54" s="13">
        <v>-35861.240000000005</v>
      </c>
      <c r="I54" s="3">
        <v>30.96</v>
      </c>
      <c r="J54" s="2"/>
      <c r="K54" s="2"/>
      <c r="L54" s="2"/>
      <c r="M54" s="4"/>
    </row>
    <row r="55" spans="1:13" s="5" customFormat="1" ht="24" customHeight="1" thickBot="1">
      <c r="A55" s="6">
        <v>45995</v>
      </c>
      <c r="B55" s="14" t="s">
        <v>20</v>
      </c>
      <c r="C55" s="14" t="s">
        <v>20</v>
      </c>
      <c r="D55" s="14" t="s">
        <v>20</v>
      </c>
      <c r="E55" s="15" t="s">
        <v>65</v>
      </c>
      <c r="F55" s="3"/>
      <c r="G55" s="53">
        <v>-60000</v>
      </c>
      <c r="H55" s="13">
        <v>24138.759999999995</v>
      </c>
      <c r="I55" s="3">
        <v>30.96</v>
      </c>
      <c r="J55" s="2" t="s">
        <v>98</v>
      </c>
      <c r="K55" s="2"/>
      <c r="L55" s="2"/>
      <c r="M55" s="4"/>
    </row>
    <row r="56" spans="1:13" s="5" customFormat="1" ht="24" customHeight="1" thickBot="1">
      <c r="A56" s="6">
        <v>45995</v>
      </c>
      <c r="B56" s="5" t="s">
        <v>55</v>
      </c>
      <c r="C56" s="5" t="s">
        <v>15</v>
      </c>
      <c r="D56" s="5" t="s">
        <v>36</v>
      </c>
      <c r="E56" s="7">
        <v>275180</v>
      </c>
      <c r="F56" s="3">
        <v>69.999999999999986</v>
      </c>
      <c r="G56" s="53">
        <v>2167.1999999999998</v>
      </c>
      <c r="H56" s="13">
        <v>21971.559999999994</v>
      </c>
      <c r="I56" s="3">
        <v>30.96</v>
      </c>
      <c r="J56" s="2"/>
      <c r="K56" s="2"/>
      <c r="L56" s="2"/>
      <c r="M56" s="4"/>
    </row>
    <row r="57" spans="1:13" s="5" customFormat="1" ht="24" customHeight="1" thickBot="1">
      <c r="A57" s="6">
        <v>45995</v>
      </c>
      <c r="B57" s="5" t="s">
        <v>92</v>
      </c>
      <c r="C57" s="5" t="s">
        <v>8</v>
      </c>
      <c r="D57" s="5" t="s">
        <v>35</v>
      </c>
      <c r="E57" s="7">
        <v>26439</v>
      </c>
      <c r="F57" s="3">
        <v>59.999999999999993</v>
      </c>
      <c r="G57" s="53">
        <v>1857.6</v>
      </c>
      <c r="H57" s="13">
        <v>20113.959999999995</v>
      </c>
      <c r="I57" s="3">
        <v>30.96</v>
      </c>
      <c r="J57" s="2"/>
      <c r="K57" s="2"/>
      <c r="L57" s="2"/>
      <c r="M57" s="4"/>
    </row>
    <row r="58" spans="1:13" s="5" customFormat="1" ht="24" customHeight="1" thickBot="1">
      <c r="A58" s="6">
        <v>45995</v>
      </c>
      <c r="B58" s="5" t="s">
        <v>44</v>
      </c>
      <c r="C58" s="5" t="s">
        <v>14</v>
      </c>
      <c r="D58" s="5" t="s">
        <v>36</v>
      </c>
      <c r="E58" s="7">
        <v>672032</v>
      </c>
      <c r="F58" s="3">
        <v>80</v>
      </c>
      <c r="G58" s="53">
        <v>2476.8000000000002</v>
      </c>
      <c r="H58" s="13">
        <v>17637.159999999996</v>
      </c>
      <c r="I58" s="3">
        <v>30.96</v>
      </c>
      <c r="J58" s="2"/>
      <c r="K58" s="2"/>
      <c r="L58" s="2"/>
      <c r="M58" s="4"/>
    </row>
    <row r="59" spans="1:13" s="5" customFormat="1" ht="24" customHeight="1" thickBot="1">
      <c r="A59" s="6">
        <v>45995</v>
      </c>
      <c r="B59" s="5" t="s">
        <v>41</v>
      </c>
      <c r="C59" s="5" t="s">
        <v>9</v>
      </c>
      <c r="D59" s="5" t="s">
        <v>36</v>
      </c>
      <c r="E59" s="7">
        <v>916133</v>
      </c>
      <c r="F59" s="3">
        <v>80</v>
      </c>
      <c r="G59" s="53">
        <v>2476.8000000000002</v>
      </c>
      <c r="H59" s="13">
        <v>15160.359999999997</v>
      </c>
      <c r="I59" s="3">
        <v>30.96</v>
      </c>
      <c r="J59" s="2"/>
      <c r="K59" s="2"/>
      <c r="L59" s="2"/>
      <c r="M59" s="4"/>
    </row>
    <row r="60" spans="1:13" s="5" customFormat="1" ht="24" customHeight="1" thickBot="1">
      <c r="A60" s="6">
        <v>45995</v>
      </c>
      <c r="B60" s="5" t="s">
        <v>48</v>
      </c>
      <c r="C60" s="5" t="s">
        <v>17</v>
      </c>
      <c r="D60" s="5" t="s">
        <v>38</v>
      </c>
      <c r="E60" s="7">
        <v>153038</v>
      </c>
      <c r="F60" s="3">
        <v>50</v>
      </c>
      <c r="G60" s="53">
        <v>1548</v>
      </c>
      <c r="H60" s="13">
        <v>13612.359999999997</v>
      </c>
      <c r="I60" s="3">
        <v>30.96</v>
      </c>
      <c r="J60" s="2"/>
      <c r="K60" s="2"/>
      <c r="L60" s="2"/>
      <c r="M60" s="4"/>
    </row>
    <row r="61" spans="1:13" s="5" customFormat="1" ht="24" customHeight="1" thickBot="1">
      <c r="A61" s="6">
        <v>45995</v>
      </c>
      <c r="B61" s="5" t="s">
        <v>60</v>
      </c>
      <c r="C61" s="5" t="s">
        <v>2</v>
      </c>
      <c r="D61" s="5" t="s">
        <v>36</v>
      </c>
      <c r="E61" s="7">
        <v>142861</v>
      </c>
      <c r="F61" s="3">
        <v>50</v>
      </c>
      <c r="G61" s="53">
        <v>1548</v>
      </c>
      <c r="H61" s="13">
        <v>12064.359999999997</v>
      </c>
      <c r="I61" s="3">
        <v>30.96</v>
      </c>
      <c r="J61" s="2"/>
      <c r="K61" s="2"/>
      <c r="L61" s="2"/>
      <c r="M61" s="4"/>
    </row>
    <row r="62" spans="1:13" s="55" customFormat="1" ht="24" customHeight="1" thickBot="1">
      <c r="A62" s="54">
        <v>45995</v>
      </c>
      <c r="B62" s="55" t="s">
        <v>56</v>
      </c>
      <c r="C62" s="55" t="s">
        <v>94</v>
      </c>
      <c r="D62" s="55" t="s">
        <v>35</v>
      </c>
      <c r="E62" s="56" t="s">
        <v>20</v>
      </c>
      <c r="F62" s="3">
        <v>105.29715762273902</v>
      </c>
      <c r="G62" s="58">
        <v>3260</v>
      </c>
      <c r="H62" s="13">
        <v>8804.3599999999969</v>
      </c>
      <c r="I62" s="57">
        <v>30.96</v>
      </c>
      <c r="J62" s="59"/>
      <c r="K62" s="59" t="s">
        <v>99</v>
      </c>
      <c r="L62" s="59"/>
      <c r="M62" s="60"/>
    </row>
    <row r="63" spans="1:13" s="5" customFormat="1" ht="24" customHeight="1" thickBot="1">
      <c r="A63" s="6">
        <v>45995</v>
      </c>
      <c r="B63" s="5" t="s">
        <v>52</v>
      </c>
      <c r="C63" s="5" t="s">
        <v>4</v>
      </c>
      <c r="D63" s="5" t="s">
        <v>36</v>
      </c>
      <c r="E63" s="7">
        <v>166188</v>
      </c>
      <c r="F63" s="3">
        <v>69.999999999999986</v>
      </c>
      <c r="G63" s="53">
        <v>2167.1999999999998</v>
      </c>
      <c r="H63" s="13">
        <v>6637.1599999999971</v>
      </c>
      <c r="I63" s="3">
        <v>30.96</v>
      </c>
      <c r="J63" s="2"/>
      <c r="K63" s="2"/>
      <c r="L63" s="2"/>
      <c r="M63" s="4"/>
    </row>
    <row r="64" spans="1:13" s="5" customFormat="1" ht="24" customHeight="1" thickBot="1">
      <c r="A64" s="6">
        <v>45995</v>
      </c>
      <c r="B64" s="61" t="s">
        <v>43</v>
      </c>
      <c r="C64" s="61" t="s">
        <v>1</v>
      </c>
      <c r="D64" s="5" t="s">
        <v>35</v>
      </c>
      <c r="E64" s="7">
        <v>163351</v>
      </c>
      <c r="F64" s="3">
        <v>50</v>
      </c>
      <c r="G64" s="53">
        <v>1548</v>
      </c>
      <c r="H64" s="13">
        <v>5089.1599999999971</v>
      </c>
      <c r="I64" s="3">
        <v>30.96</v>
      </c>
      <c r="J64" s="2"/>
      <c r="K64" s="2"/>
      <c r="L64" s="2"/>
      <c r="M64" s="4"/>
    </row>
    <row r="65" spans="1:13" s="5" customFormat="1" ht="24" customHeight="1" thickBot="1">
      <c r="A65" s="6">
        <v>45995</v>
      </c>
      <c r="B65" s="5" t="s">
        <v>49</v>
      </c>
      <c r="C65" s="5" t="s">
        <v>6</v>
      </c>
      <c r="D65" s="5" t="s">
        <v>35</v>
      </c>
      <c r="E65" s="7">
        <v>162900</v>
      </c>
      <c r="F65" s="3">
        <v>81.001291989664082</v>
      </c>
      <c r="G65" s="53">
        <v>2507.8000000000002</v>
      </c>
      <c r="H65" s="13">
        <v>2581.3599999999969</v>
      </c>
      <c r="I65" s="3">
        <v>30.96</v>
      </c>
      <c r="J65" s="2"/>
      <c r="K65" s="2"/>
      <c r="L65" s="2"/>
      <c r="M65" s="4"/>
    </row>
    <row r="66" spans="1:13" s="5" customFormat="1" ht="24" customHeight="1" thickBot="1">
      <c r="A66" s="6">
        <v>45995</v>
      </c>
      <c r="B66" s="61" t="s">
        <v>63</v>
      </c>
      <c r="C66" s="61" t="s">
        <v>13</v>
      </c>
      <c r="D66" s="5" t="s">
        <v>35</v>
      </c>
      <c r="E66" s="7">
        <v>247192</v>
      </c>
      <c r="F66" s="3">
        <v>137.59689922480621</v>
      </c>
      <c r="G66" s="53">
        <v>4260</v>
      </c>
      <c r="H66" s="13">
        <v>-1678.6400000000031</v>
      </c>
      <c r="I66" s="3">
        <v>30.96</v>
      </c>
      <c r="J66" s="2"/>
      <c r="K66" s="2"/>
      <c r="L66" s="2"/>
      <c r="M66" s="4"/>
    </row>
    <row r="67" spans="1:13" s="5" customFormat="1" ht="24" customHeight="1" thickBot="1">
      <c r="A67" s="6">
        <v>45996</v>
      </c>
      <c r="B67" s="5" t="s">
        <v>54</v>
      </c>
      <c r="C67" s="5" t="s">
        <v>16</v>
      </c>
      <c r="D67" s="5" t="s">
        <v>35</v>
      </c>
      <c r="E67" s="7">
        <v>227474</v>
      </c>
      <c r="F67" s="3">
        <v>89.793281653746774</v>
      </c>
      <c r="G67" s="53">
        <v>2780</v>
      </c>
      <c r="H67" s="13">
        <v>-4458.6400000000031</v>
      </c>
      <c r="I67" s="3">
        <v>30.96</v>
      </c>
      <c r="J67" s="2"/>
      <c r="K67" s="2"/>
      <c r="L67" s="2"/>
      <c r="M67" s="4"/>
    </row>
    <row r="68" spans="1:13" s="5" customFormat="1" ht="24" customHeight="1" thickBot="1">
      <c r="A68" s="6">
        <v>45996</v>
      </c>
      <c r="B68" s="5" t="s">
        <v>39</v>
      </c>
      <c r="C68" s="5" t="s">
        <v>64</v>
      </c>
      <c r="D68" s="5" t="s">
        <v>34</v>
      </c>
      <c r="E68" s="7" t="s">
        <v>20</v>
      </c>
      <c r="F68" s="3">
        <v>16.14987080103359</v>
      </c>
      <c r="G68" s="53">
        <v>500</v>
      </c>
      <c r="H68" s="13">
        <v>-4958.6400000000031</v>
      </c>
      <c r="I68" s="3">
        <v>30.96</v>
      </c>
      <c r="J68" s="2"/>
      <c r="K68" s="2"/>
      <c r="L68" s="2"/>
      <c r="M68" s="4"/>
    </row>
    <row r="69" spans="1:13" s="5" customFormat="1" ht="24" customHeight="1" thickBot="1">
      <c r="A69" s="6">
        <v>45996</v>
      </c>
      <c r="B69" s="5" t="s">
        <v>45</v>
      </c>
      <c r="C69" s="5" t="s">
        <v>7</v>
      </c>
      <c r="D69" s="5" t="s">
        <v>34</v>
      </c>
      <c r="E69" s="7">
        <v>168814</v>
      </c>
      <c r="F69" s="3">
        <v>69.999999999999986</v>
      </c>
      <c r="G69" s="53">
        <v>2167.1999999999998</v>
      </c>
      <c r="H69" s="13">
        <v>-7125.8400000000029</v>
      </c>
      <c r="I69" s="3">
        <v>30.96</v>
      </c>
      <c r="J69" s="2"/>
      <c r="K69" s="2"/>
      <c r="L69" s="2"/>
      <c r="M69" s="4"/>
    </row>
    <row r="70" spans="1:13" s="5" customFormat="1" ht="24" customHeight="1" thickBot="1">
      <c r="A70" s="6">
        <v>45996</v>
      </c>
      <c r="B70" s="5" t="s">
        <v>44</v>
      </c>
      <c r="C70" s="5" t="s">
        <v>14</v>
      </c>
      <c r="D70" s="5" t="s">
        <v>36</v>
      </c>
      <c r="E70" s="7">
        <v>672174</v>
      </c>
      <c r="F70" s="3">
        <v>80</v>
      </c>
      <c r="G70" s="53">
        <v>2476.8000000000002</v>
      </c>
      <c r="H70" s="13">
        <v>-9602.6400000000031</v>
      </c>
      <c r="I70" s="3">
        <v>30.96</v>
      </c>
      <c r="J70" s="2"/>
      <c r="K70" s="2"/>
      <c r="L70" s="2"/>
      <c r="M70" s="4"/>
    </row>
    <row r="71" spans="1:13" s="5" customFormat="1" ht="24" customHeight="1" thickBot="1">
      <c r="A71" s="6">
        <v>45996</v>
      </c>
      <c r="B71" s="5" t="s">
        <v>41</v>
      </c>
      <c r="C71" s="5" t="s">
        <v>9</v>
      </c>
      <c r="D71" s="5" t="s">
        <v>36</v>
      </c>
      <c r="E71" s="7">
        <v>916320</v>
      </c>
      <c r="F71" s="3">
        <v>80</v>
      </c>
      <c r="G71" s="53">
        <v>2476.8000000000002</v>
      </c>
      <c r="H71" s="13">
        <v>-12079.440000000002</v>
      </c>
      <c r="I71" s="3">
        <v>30.96</v>
      </c>
      <c r="J71" s="2"/>
      <c r="K71" s="2"/>
      <c r="L71" s="2"/>
      <c r="M71" s="4"/>
    </row>
    <row r="72" spans="1:13" s="5" customFormat="1" ht="24" customHeight="1" thickBot="1">
      <c r="A72" s="6">
        <v>45996</v>
      </c>
      <c r="B72" s="5" t="s">
        <v>57</v>
      </c>
      <c r="C72" s="5" t="s">
        <v>12</v>
      </c>
      <c r="D72" s="5" t="s">
        <v>36</v>
      </c>
      <c r="E72" s="7">
        <v>165009</v>
      </c>
      <c r="F72" s="3">
        <v>56.999354005167959</v>
      </c>
      <c r="G72" s="53">
        <v>1764.7</v>
      </c>
      <c r="H72" s="13">
        <v>-13844.140000000003</v>
      </c>
      <c r="I72" s="3">
        <v>30.96</v>
      </c>
      <c r="J72" s="2"/>
      <c r="K72" s="2"/>
      <c r="L72" s="2"/>
      <c r="M72" s="4"/>
    </row>
    <row r="73" spans="1:13" s="5" customFormat="1" ht="24" customHeight="1" thickBot="1">
      <c r="A73" s="6">
        <v>45996</v>
      </c>
      <c r="B73" s="5" t="s">
        <v>50</v>
      </c>
      <c r="C73" s="5" t="s">
        <v>5</v>
      </c>
      <c r="D73" s="5" t="s">
        <v>34</v>
      </c>
      <c r="E73" s="7">
        <v>189818</v>
      </c>
      <c r="F73" s="3">
        <v>90</v>
      </c>
      <c r="G73" s="53">
        <v>2786.4</v>
      </c>
      <c r="H73" s="13">
        <v>-16630.540000000005</v>
      </c>
      <c r="I73" s="3">
        <v>30.96</v>
      </c>
      <c r="J73" s="2"/>
      <c r="K73" s="2"/>
      <c r="L73" s="2"/>
      <c r="M73" s="4"/>
    </row>
    <row r="74" spans="1:13" s="5" customFormat="1" ht="24" customHeight="1" thickBot="1">
      <c r="A74" s="6">
        <v>45997</v>
      </c>
      <c r="B74" s="5" t="s">
        <v>53</v>
      </c>
      <c r="C74" s="5" t="s">
        <v>10</v>
      </c>
      <c r="D74" s="5" t="s">
        <v>34</v>
      </c>
      <c r="E74" s="7">
        <v>288471</v>
      </c>
      <c r="F74" s="3">
        <v>50</v>
      </c>
      <c r="G74" s="53">
        <v>1548</v>
      </c>
      <c r="H74" s="13">
        <v>-18178.540000000005</v>
      </c>
      <c r="I74" s="3">
        <v>30.96</v>
      </c>
      <c r="J74" s="2"/>
      <c r="K74" s="2"/>
      <c r="L74" s="2"/>
      <c r="M74" s="4"/>
    </row>
    <row r="75" spans="1:13" s="5" customFormat="1" ht="24" customHeight="1" thickBot="1">
      <c r="A75" s="6">
        <v>45997</v>
      </c>
      <c r="B75" s="5" t="s">
        <v>92</v>
      </c>
      <c r="C75" s="5" t="s">
        <v>8</v>
      </c>
      <c r="D75" s="5" t="s">
        <v>35</v>
      </c>
      <c r="E75" s="7">
        <v>26599</v>
      </c>
      <c r="F75" s="3">
        <v>59.999999999999993</v>
      </c>
      <c r="G75" s="53">
        <v>1857.6</v>
      </c>
      <c r="H75" s="13">
        <v>-20036.140000000003</v>
      </c>
      <c r="I75" s="3">
        <v>30.96</v>
      </c>
      <c r="J75" s="2"/>
      <c r="K75" s="2"/>
      <c r="L75" s="2"/>
      <c r="M75" s="4"/>
    </row>
    <row r="76" spans="1:13" s="5" customFormat="1" ht="24" customHeight="1" thickBot="1">
      <c r="A76" s="6">
        <v>45996</v>
      </c>
      <c r="B76" s="5" t="s">
        <v>59</v>
      </c>
      <c r="C76" s="5" t="s">
        <v>11</v>
      </c>
      <c r="D76" s="5" t="s">
        <v>35</v>
      </c>
      <c r="E76" s="7">
        <v>229109</v>
      </c>
      <c r="F76" s="3">
        <v>119.99999999999999</v>
      </c>
      <c r="G76" s="53">
        <v>3715.2</v>
      </c>
      <c r="H76" s="13">
        <v>-23751.340000000004</v>
      </c>
      <c r="I76" s="3">
        <v>30.96</v>
      </c>
      <c r="J76" s="2"/>
      <c r="K76" s="2"/>
      <c r="L76" s="2"/>
      <c r="M76" s="4"/>
    </row>
    <row r="77" spans="1:13" s="5" customFormat="1" ht="24" customHeight="1" thickBot="1">
      <c r="A77" s="6">
        <v>45997</v>
      </c>
      <c r="B77" s="14" t="s">
        <v>20</v>
      </c>
      <c r="C77" s="14" t="s">
        <v>20</v>
      </c>
      <c r="D77" s="14" t="s">
        <v>20</v>
      </c>
      <c r="E77" s="15" t="s">
        <v>65</v>
      </c>
      <c r="F77" s="3"/>
      <c r="G77" s="53">
        <v>-40000</v>
      </c>
      <c r="H77" s="13">
        <v>16248.659999999996</v>
      </c>
      <c r="I77" s="3">
        <v>30.96</v>
      </c>
      <c r="J77" s="2" t="s">
        <v>100</v>
      </c>
      <c r="K77" s="2"/>
      <c r="L77" s="2"/>
      <c r="M77" s="4"/>
    </row>
    <row r="78" spans="1:13" s="5" customFormat="1" ht="24" customHeight="1" thickBot="1">
      <c r="A78" s="6">
        <v>45997</v>
      </c>
      <c r="B78" s="5" t="s">
        <v>48</v>
      </c>
      <c r="C78" s="5" t="s">
        <v>17</v>
      </c>
      <c r="D78" s="5" t="s">
        <v>36</v>
      </c>
      <c r="E78" s="7">
        <v>153218</v>
      </c>
      <c r="F78" s="3">
        <v>29.999999999999996</v>
      </c>
      <c r="G78" s="53">
        <v>928.8</v>
      </c>
      <c r="H78" s="13">
        <v>15319.859999999997</v>
      </c>
      <c r="I78" s="3">
        <v>30.96</v>
      </c>
      <c r="J78" s="2"/>
      <c r="K78" s="2"/>
      <c r="L78" s="2"/>
      <c r="M78" s="4"/>
    </row>
    <row r="79" spans="1:13" s="5" customFormat="1" ht="24" customHeight="1" thickBot="1">
      <c r="A79" s="6">
        <v>45997</v>
      </c>
      <c r="B79" s="5" t="s">
        <v>45</v>
      </c>
      <c r="C79" s="5" t="s">
        <v>7</v>
      </c>
      <c r="D79" s="5" t="s">
        <v>36</v>
      </c>
      <c r="E79" s="7">
        <v>169037</v>
      </c>
      <c r="F79" s="3">
        <v>50</v>
      </c>
      <c r="G79" s="53">
        <v>1548</v>
      </c>
      <c r="H79" s="13">
        <v>13771.859999999997</v>
      </c>
      <c r="I79" s="3">
        <v>30.96</v>
      </c>
      <c r="J79" s="2"/>
      <c r="K79" s="2"/>
      <c r="L79" s="2"/>
      <c r="M79" s="4"/>
    </row>
    <row r="80" spans="1:13" s="5" customFormat="1" ht="24" customHeight="1" thickBot="1">
      <c r="A80" s="6">
        <v>45997</v>
      </c>
      <c r="B80" s="5" t="s">
        <v>51</v>
      </c>
      <c r="C80" s="5" t="s">
        <v>3</v>
      </c>
      <c r="D80" s="5" t="s">
        <v>35</v>
      </c>
      <c r="E80" s="7">
        <v>298775</v>
      </c>
      <c r="F80" s="3">
        <v>90</v>
      </c>
      <c r="G80" s="53">
        <v>2786.4</v>
      </c>
      <c r="H80" s="13">
        <v>10985.459999999997</v>
      </c>
      <c r="I80" s="3">
        <v>30.96</v>
      </c>
      <c r="J80" s="2"/>
      <c r="K80" s="2"/>
      <c r="L80" s="2"/>
      <c r="M80" s="4"/>
    </row>
    <row r="81" spans="1:13" s="5" customFormat="1" ht="24" customHeight="1" thickBot="1">
      <c r="A81" s="6">
        <v>45998</v>
      </c>
      <c r="B81" s="5" t="s">
        <v>52</v>
      </c>
      <c r="C81" s="5" t="s">
        <v>4</v>
      </c>
      <c r="D81" s="5" t="s">
        <v>34</v>
      </c>
      <c r="E81" s="7">
        <v>166351</v>
      </c>
      <c r="F81" s="3">
        <v>50</v>
      </c>
      <c r="G81" s="53">
        <v>1548</v>
      </c>
      <c r="H81" s="13">
        <v>9437.4599999999973</v>
      </c>
      <c r="I81" s="3">
        <v>30.96</v>
      </c>
      <c r="J81" s="2"/>
      <c r="K81" s="2"/>
      <c r="L81" s="2"/>
      <c r="M81" s="4"/>
    </row>
    <row r="82" spans="1:13" s="5" customFormat="1" ht="24" customHeight="1" thickBot="1">
      <c r="A82" s="6">
        <v>45999</v>
      </c>
      <c r="B82" s="5" t="s">
        <v>53</v>
      </c>
      <c r="C82" s="5" t="s">
        <v>10</v>
      </c>
      <c r="D82" s="5" t="s">
        <v>35</v>
      </c>
      <c r="E82" s="7">
        <v>288589</v>
      </c>
      <c r="F82" s="3">
        <v>50</v>
      </c>
      <c r="G82" s="53">
        <v>1548</v>
      </c>
      <c r="H82" s="13">
        <v>7889.4599999999973</v>
      </c>
      <c r="I82" s="3">
        <v>30.96</v>
      </c>
      <c r="J82" s="2"/>
      <c r="K82" s="2"/>
      <c r="L82" s="2"/>
      <c r="M82" s="4"/>
    </row>
    <row r="83" spans="1:13" s="5" customFormat="1" ht="24" customHeight="1" thickBot="1">
      <c r="A83" s="6">
        <v>45999</v>
      </c>
      <c r="B83" s="5" t="s">
        <v>92</v>
      </c>
      <c r="C83" s="5" t="s">
        <v>8</v>
      </c>
      <c r="D83" s="5" t="s">
        <v>35</v>
      </c>
      <c r="E83" s="7">
        <v>26752</v>
      </c>
      <c r="F83" s="3">
        <v>59.999999999999993</v>
      </c>
      <c r="G83" s="53">
        <v>1857.6</v>
      </c>
      <c r="H83" s="13">
        <v>6031.8599999999969</v>
      </c>
      <c r="I83" s="3">
        <v>30.96</v>
      </c>
      <c r="J83" s="2"/>
      <c r="K83" s="2"/>
      <c r="L83" s="2"/>
      <c r="M83" s="4"/>
    </row>
    <row r="84" spans="1:13" s="5" customFormat="1" ht="24" customHeight="1" thickBot="1">
      <c r="A84" s="6">
        <v>45999</v>
      </c>
      <c r="B84" s="14" t="s">
        <v>20</v>
      </c>
      <c r="C84" s="14" t="s">
        <v>20</v>
      </c>
      <c r="D84" s="14" t="s">
        <v>20</v>
      </c>
      <c r="E84" s="15" t="s">
        <v>65</v>
      </c>
      <c r="F84" s="3"/>
      <c r="G84" s="53">
        <v>-64000</v>
      </c>
      <c r="H84" s="13">
        <v>70031.86</v>
      </c>
      <c r="I84" s="3">
        <v>30.96</v>
      </c>
      <c r="J84" s="2" t="s">
        <v>101</v>
      </c>
      <c r="K84" s="2"/>
      <c r="L84" s="2"/>
      <c r="M84" s="4"/>
    </row>
    <row r="85" spans="1:13" s="5" customFormat="1" ht="24" customHeight="1" thickBot="1">
      <c r="A85" s="6">
        <v>45999</v>
      </c>
      <c r="B85" s="14" t="s">
        <v>20</v>
      </c>
      <c r="C85" s="14" t="s">
        <v>20</v>
      </c>
      <c r="D85" s="14" t="s">
        <v>20</v>
      </c>
      <c r="E85" s="15" t="s">
        <v>65</v>
      </c>
      <c r="F85" s="3"/>
      <c r="G85" s="53">
        <v>-6000</v>
      </c>
      <c r="H85" s="13">
        <v>76031.86</v>
      </c>
      <c r="I85" s="3">
        <v>30.96</v>
      </c>
      <c r="J85" s="2"/>
      <c r="K85" s="2"/>
      <c r="L85" s="2"/>
      <c r="M85" s="4"/>
    </row>
    <row r="86" spans="1:13" s="5" customFormat="1" ht="24" customHeight="1" thickBot="1">
      <c r="A86" s="6">
        <v>45999</v>
      </c>
      <c r="B86" s="5" t="s">
        <v>50</v>
      </c>
      <c r="C86" s="5" t="s">
        <v>5</v>
      </c>
      <c r="D86" s="5" t="s">
        <v>35</v>
      </c>
      <c r="E86" s="7">
        <v>190179</v>
      </c>
      <c r="F86" s="3">
        <v>50</v>
      </c>
      <c r="G86" s="53">
        <v>1548</v>
      </c>
      <c r="H86" s="13">
        <v>74483.86</v>
      </c>
      <c r="I86" s="3">
        <v>30.96</v>
      </c>
      <c r="J86" s="2"/>
      <c r="K86" s="2"/>
      <c r="L86" s="2"/>
      <c r="M86" s="4"/>
    </row>
    <row r="87" spans="1:13" s="5" customFormat="1" ht="24" customHeight="1" thickBot="1">
      <c r="A87" s="6">
        <v>45999</v>
      </c>
      <c r="B87" s="61" t="s">
        <v>43</v>
      </c>
      <c r="C87" s="61" t="s">
        <v>1</v>
      </c>
      <c r="D87" s="5" t="s">
        <v>35</v>
      </c>
      <c r="E87" s="7">
        <v>163588</v>
      </c>
      <c r="F87" s="3">
        <v>50</v>
      </c>
      <c r="G87" s="53">
        <v>1548</v>
      </c>
      <c r="H87" s="13">
        <v>72935.86</v>
      </c>
      <c r="I87" s="3">
        <v>30.96</v>
      </c>
      <c r="J87" s="2"/>
      <c r="K87" s="2"/>
      <c r="L87" s="2"/>
      <c r="M87" s="4"/>
    </row>
    <row r="88" spans="1:13" s="5" customFormat="1" ht="24" customHeight="1" thickBot="1">
      <c r="A88" s="6">
        <v>45999</v>
      </c>
      <c r="B88" s="5" t="s">
        <v>48</v>
      </c>
      <c r="C88" s="5" t="s">
        <v>17</v>
      </c>
      <c r="D88" s="5" t="s">
        <v>36</v>
      </c>
      <c r="E88" s="7">
        <v>153277</v>
      </c>
      <c r="F88" s="3">
        <v>50</v>
      </c>
      <c r="G88" s="53">
        <v>1548</v>
      </c>
      <c r="H88" s="13">
        <v>71387.86</v>
      </c>
      <c r="I88" s="3">
        <v>30.96</v>
      </c>
      <c r="J88" s="2"/>
      <c r="K88" s="2"/>
      <c r="L88" s="2"/>
      <c r="M88" s="4"/>
    </row>
    <row r="89" spans="1:13" s="5" customFormat="1" ht="24" customHeight="1" thickBot="1">
      <c r="A89" s="6">
        <v>45999</v>
      </c>
      <c r="B89" s="5" t="s">
        <v>39</v>
      </c>
      <c r="C89" s="5" t="s">
        <v>64</v>
      </c>
      <c r="D89" s="5" t="s">
        <v>34</v>
      </c>
      <c r="E89" s="7" t="s">
        <v>20</v>
      </c>
      <c r="F89" s="3">
        <v>16.14987080103359</v>
      </c>
      <c r="G89" s="53">
        <v>500</v>
      </c>
      <c r="H89" s="13">
        <v>70887.86</v>
      </c>
      <c r="I89" s="3">
        <v>30.96</v>
      </c>
      <c r="J89" s="2"/>
      <c r="K89" s="2"/>
      <c r="L89" s="2"/>
      <c r="M89" s="4"/>
    </row>
    <row r="90" spans="1:13" s="5" customFormat="1" ht="24" customHeight="1" thickBot="1">
      <c r="A90" s="6">
        <v>45999</v>
      </c>
      <c r="B90" s="5" t="s">
        <v>51</v>
      </c>
      <c r="C90" s="5" t="s">
        <v>3</v>
      </c>
      <c r="D90" s="5" t="s">
        <v>34</v>
      </c>
      <c r="E90" s="7">
        <v>298963</v>
      </c>
      <c r="F90" s="3">
        <v>50</v>
      </c>
      <c r="G90" s="53">
        <v>1548</v>
      </c>
      <c r="H90" s="13">
        <v>69339.86</v>
      </c>
      <c r="I90" s="3">
        <v>30.96</v>
      </c>
      <c r="J90" s="2"/>
      <c r="K90" s="2"/>
      <c r="L90" s="2"/>
      <c r="M90" s="4"/>
    </row>
    <row r="91" spans="1:13" s="5" customFormat="1" ht="24" customHeight="1" thickBot="1">
      <c r="A91" s="6">
        <v>45999</v>
      </c>
      <c r="B91" s="5" t="s">
        <v>44</v>
      </c>
      <c r="C91" s="5" t="s">
        <v>14</v>
      </c>
      <c r="D91" s="5" t="s">
        <v>36</v>
      </c>
      <c r="E91" s="7">
        <v>672318</v>
      </c>
      <c r="F91" s="3">
        <v>59.999999999999993</v>
      </c>
      <c r="G91" s="53">
        <v>1857.6</v>
      </c>
      <c r="H91" s="13">
        <v>67482.259999999995</v>
      </c>
      <c r="I91" s="3">
        <v>30.96</v>
      </c>
      <c r="J91" s="2"/>
      <c r="K91" s="2"/>
      <c r="L91" s="2"/>
      <c r="M91" s="4"/>
    </row>
    <row r="92" spans="1:13" s="5" customFormat="1" ht="24" customHeight="1" thickBot="1">
      <c r="A92" s="6">
        <v>45999</v>
      </c>
      <c r="B92" s="61" t="s">
        <v>63</v>
      </c>
      <c r="C92" s="61" t="s">
        <v>13</v>
      </c>
      <c r="D92" s="5" t="s">
        <v>35</v>
      </c>
      <c r="E92" s="7">
        <v>247551</v>
      </c>
      <c r="F92" s="3">
        <v>132.42894056847544</v>
      </c>
      <c r="G92" s="53">
        <v>4100</v>
      </c>
      <c r="H92" s="13">
        <v>63382.259999999995</v>
      </c>
      <c r="I92" s="3">
        <v>30.96</v>
      </c>
      <c r="J92" s="2"/>
      <c r="K92" s="2"/>
      <c r="L92" s="2"/>
      <c r="M92" s="4"/>
    </row>
    <row r="93" spans="1:13" s="5" customFormat="1" ht="24" customHeight="1" thickBot="1">
      <c r="A93" s="6">
        <v>45999</v>
      </c>
      <c r="B93" s="5" t="s">
        <v>60</v>
      </c>
      <c r="C93" s="5" t="s">
        <v>2</v>
      </c>
      <c r="D93" s="5" t="s">
        <v>35</v>
      </c>
      <c r="E93" s="7">
        <v>143028</v>
      </c>
      <c r="F93" s="3">
        <v>50</v>
      </c>
      <c r="G93" s="53">
        <v>1548</v>
      </c>
      <c r="H93" s="13">
        <v>61834.259999999995</v>
      </c>
      <c r="I93" s="3">
        <v>30.96</v>
      </c>
      <c r="J93" s="2"/>
      <c r="K93" s="2"/>
      <c r="L93" s="2"/>
      <c r="M93" s="4"/>
    </row>
    <row r="94" spans="1:13" s="5" customFormat="1" ht="24" customHeight="1" thickBot="1">
      <c r="A94" s="6">
        <v>45999</v>
      </c>
      <c r="B94" s="5" t="s">
        <v>59</v>
      </c>
      <c r="C94" s="5" t="s">
        <v>11</v>
      </c>
      <c r="D94" s="5" t="s">
        <v>36</v>
      </c>
      <c r="E94" s="7">
        <v>229518</v>
      </c>
      <c r="F94" s="3">
        <v>50</v>
      </c>
      <c r="G94" s="53">
        <v>1548</v>
      </c>
      <c r="H94" s="13">
        <v>60286.259999999995</v>
      </c>
      <c r="I94" s="3">
        <v>30.96</v>
      </c>
      <c r="J94" s="2"/>
      <c r="K94" s="2"/>
      <c r="L94" s="2"/>
      <c r="M94" s="4"/>
    </row>
    <row r="95" spans="1:13" s="5" customFormat="1" ht="24" customHeight="1" thickBot="1">
      <c r="A95" s="6">
        <v>45999</v>
      </c>
      <c r="B95" s="5" t="s">
        <v>49</v>
      </c>
      <c r="C95" s="5" t="s">
        <v>6</v>
      </c>
      <c r="D95" s="5" t="s">
        <v>36</v>
      </c>
      <c r="E95" s="7">
        <v>163282</v>
      </c>
      <c r="F95" s="3">
        <v>69.999999999999986</v>
      </c>
      <c r="G95" s="53">
        <v>2167.1999999999998</v>
      </c>
      <c r="H95" s="13">
        <v>58119.06</v>
      </c>
      <c r="I95" s="3">
        <v>30.96</v>
      </c>
      <c r="J95" s="2"/>
      <c r="K95" s="2"/>
      <c r="L95" s="2"/>
      <c r="M95" s="4"/>
    </row>
    <row r="96" spans="1:13" s="5" customFormat="1" ht="24" customHeight="1" thickBot="1">
      <c r="A96" s="6">
        <v>45999</v>
      </c>
      <c r="B96" s="5" t="s">
        <v>57</v>
      </c>
      <c r="C96" s="5" t="s">
        <v>12</v>
      </c>
      <c r="D96" s="5" t="s">
        <v>36</v>
      </c>
      <c r="E96" s="7">
        <v>165277</v>
      </c>
      <c r="F96" s="3">
        <v>69.999999999999986</v>
      </c>
      <c r="G96" s="53">
        <v>2167.1999999999998</v>
      </c>
      <c r="H96" s="13">
        <v>55951.86</v>
      </c>
      <c r="I96" s="3">
        <v>30.96</v>
      </c>
      <c r="J96" s="2"/>
      <c r="K96" s="2"/>
      <c r="L96" s="2"/>
      <c r="M96" s="4"/>
    </row>
    <row r="97" spans="1:13" s="5" customFormat="1" ht="24" customHeight="1" thickBot="1">
      <c r="A97" s="6">
        <v>45999</v>
      </c>
      <c r="B97" s="5" t="s">
        <v>54</v>
      </c>
      <c r="C97" s="5" t="s">
        <v>16</v>
      </c>
      <c r="D97" s="5" t="s">
        <v>36</v>
      </c>
      <c r="E97" s="7">
        <v>227867</v>
      </c>
      <c r="F97" s="3">
        <v>69.999999999999986</v>
      </c>
      <c r="G97" s="53">
        <v>2167.1999999999998</v>
      </c>
      <c r="H97" s="13">
        <v>53784.66</v>
      </c>
      <c r="I97" s="3">
        <v>30.96</v>
      </c>
      <c r="J97" s="2"/>
      <c r="K97" s="2"/>
      <c r="L97" s="2"/>
      <c r="M97" s="4"/>
    </row>
    <row r="98" spans="1:13" s="5" customFormat="1" ht="24" customHeight="1" thickBot="1">
      <c r="A98" s="6">
        <v>45999</v>
      </c>
      <c r="B98" s="5" t="s">
        <v>41</v>
      </c>
      <c r="C98" s="5" t="s">
        <v>9</v>
      </c>
      <c r="D98" s="5" t="s">
        <v>36</v>
      </c>
      <c r="E98" s="7">
        <v>916529</v>
      </c>
      <c r="F98" s="3">
        <v>80</v>
      </c>
      <c r="G98" s="53">
        <v>2476.8000000000002</v>
      </c>
      <c r="H98" s="13">
        <v>51307.86</v>
      </c>
      <c r="I98" s="3">
        <v>30.96</v>
      </c>
      <c r="J98" s="2"/>
      <c r="K98" s="2"/>
      <c r="L98" s="2"/>
      <c r="M98" s="4"/>
    </row>
    <row r="99" spans="1:13" s="5" customFormat="1" ht="24" customHeight="1" thickBot="1">
      <c r="A99" s="6">
        <v>45999</v>
      </c>
      <c r="B99" s="5" t="s">
        <v>45</v>
      </c>
      <c r="C99" s="5" t="s">
        <v>7</v>
      </c>
      <c r="D99" s="5" t="s">
        <v>36</v>
      </c>
      <c r="E99" s="7">
        <v>169168</v>
      </c>
      <c r="F99" s="3">
        <v>50</v>
      </c>
      <c r="G99" s="53">
        <v>1548</v>
      </c>
      <c r="H99" s="13">
        <v>49759.86</v>
      </c>
      <c r="I99" s="3">
        <v>30.96</v>
      </c>
      <c r="J99" s="2"/>
      <c r="K99" s="2"/>
      <c r="L99" s="2"/>
      <c r="M99" s="4"/>
    </row>
    <row r="100" spans="1:13" s="5" customFormat="1" ht="24" customHeight="1" thickBot="1">
      <c r="A100" s="6">
        <v>45999</v>
      </c>
      <c r="B100" s="5" t="s">
        <v>50</v>
      </c>
      <c r="C100" s="5" t="s">
        <v>5</v>
      </c>
      <c r="D100" s="5" t="s">
        <v>36</v>
      </c>
      <c r="E100" s="7">
        <v>190287</v>
      </c>
      <c r="F100" s="3">
        <v>90</v>
      </c>
      <c r="G100" s="53">
        <v>2786.4</v>
      </c>
      <c r="H100" s="13">
        <v>46973.46</v>
      </c>
      <c r="I100" s="3">
        <v>30.96</v>
      </c>
      <c r="J100" s="2"/>
      <c r="K100" s="2"/>
      <c r="L100" s="2"/>
      <c r="M100" s="4"/>
    </row>
    <row r="101" spans="1:13" s="5" customFormat="1" ht="24" customHeight="1" thickBot="1">
      <c r="A101" s="6">
        <v>46000</v>
      </c>
      <c r="B101" s="5" t="s">
        <v>59</v>
      </c>
      <c r="C101" s="5" t="s">
        <v>11</v>
      </c>
      <c r="D101" s="5" t="s">
        <v>35</v>
      </c>
      <c r="E101" s="7">
        <v>229697</v>
      </c>
      <c r="F101" s="3">
        <v>50</v>
      </c>
      <c r="G101" s="53">
        <v>1548</v>
      </c>
      <c r="H101" s="13">
        <v>45425.46</v>
      </c>
      <c r="I101" s="3">
        <v>30.96</v>
      </c>
      <c r="J101" s="2"/>
      <c r="K101" s="2"/>
      <c r="L101" s="2"/>
      <c r="M101" s="4"/>
    </row>
    <row r="102" spans="1:13" s="5" customFormat="1" ht="24" customHeight="1" thickBot="1">
      <c r="A102" s="6">
        <v>46000</v>
      </c>
      <c r="B102" s="5" t="s">
        <v>48</v>
      </c>
      <c r="C102" s="5" t="s">
        <v>17</v>
      </c>
      <c r="D102" s="5" t="s">
        <v>36</v>
      </c>
      <c r="E102" s="7">
        <v>153488</v>
      </c>
      <c r="F102" s="3">
        <v>50</v>
      </c>
      <c r="G102" s="53">
        <v>1548</v>
      </c>
      <c r="H102" s="13">
        <v>43877.46</v>
      </c>
      <c r="I102" s="3">
        <v>30.96</v>
      </c>
      <c r="J102" s="2"/>
      <c r="K102" s="2"/>
      <c r="L102" s="2"/>
      <c r="M102" s="4"/>
    </row>
    <row r="103" spans="1:13" s="5" customFormat="1" ht="24" customHeight="1" thickBot="1">
      <c r="A103" s="6">
        <v>46000</v>
      </c>
      <c r="B103" s="5" t="s">
        <v>49</v>
      </c>
      <c r="C103" s="5" t="s">
        <v>6</v>
      </c>
      <c r="D103" s="5" t="s">
        <v>35</v>
      </c>
      <c r="E103" s="7">
        <v>163455</v>
      </c>
      <c r="F103" s="3">
        <v>50</v>
      </c>
      <c r="G103" s="53">
        <v>1548</v>
      </c>
      <c r="H103" s="13">
        <v>42329.46</v>
      </c>
      <c r="I103" s="3">
        <v>30.96</v>
      </c>
      <c r="J103" s="2"/>
      <c r="K103" s="2"/>
      <c r="L103" s="2"/>
      <c r="M103" s="4"/>
    </row>
    <row r="104" spans="1:13" s="5" customFormat="1" ht="24" customHeight="1" thickBot="1">
      <c r="A104" s="6">
        <v>46000</v>
      </c>
      <c r="B104" s="5" t="s">
        <v>52</v>
      </c>
      <c r="C104" s="5" t="s">
        <v>4</v>
      </c>
      <c r="D104" s="5" t="s">
        <v>35</v>
      </c>
      <c r="E104" s="7">
        <v>166441</v>
      </c>
      <c r="F104" s="3">
        <v>61.36950904392765</v>
      </c>
      <c r="G104" s="53">
        <v>1900</v>
      </c>
      <c r="H104" s="13">
        <v>40429.46</v>
      </c>
      <c r="I104" s="3">
        <v>30.96</v>
      </c>
      <c r="J104" s="2"/>
      <c r="K104" s="2"/>
      <c r="L104" s="2"/>
      <c r="M104" s="4"/>
    </row>
    <row r="105" spans="1:13" s="5" customFormat="1" ht="24" customHeight="1" thickBot="1">
      <c r="A105" s="6">
        <v>46000</v>
      </c>
      <c r="B105" s="61" t="s">
        <v>43</v>
      </c>
      <c r="C105" s="61" t="s">
        <v>1</v>
      </c>
      <c r="D105" s="5" t="s">
        <v>34</v>
      </c>
      <c r="E105" s="7">
        <v>163707</v>
      </c>
      <c r="F105" s="3">
        <v>50</v>
      </c>
      <c r="G105" s="53">
        <v>1548</v>
      </c>
      <c r="H105" s="13">
        <v>38881.46</v>
      </c>
      <c r="I105" s="3">
        <v>30.96</v>
      </c>
      <c r="J105" s="2"/>
      <c r="K105" s="2"/>
      <c r="L105" s="2"/>
      <c r="M105" s="4"/>
    </row>
    <row r="106" spans="1:13" s="5" customFormat="1" ht="24" customHeight="1" thickBot="1">
      <c r="A106" s="6">
        <v>46000</v>
      </c>
      <c r="B106" s="5" t="s">
        <v>92</v>
      </c>
      <c r="C106" s="5" t="s">
        <v>8</v>
      </c>
      <c r="D106" s="5" t="s">
        <v>34</v>
      </c>
      <c r="E106" s="7">
        <v>26861</v>
      </c>
      <c r="F106" s="3">
        <v>59.999999999999993</v>
      </c>
      <c r="G106" s="53">
        <v>1857.6</v>
      </c>
      <c r="H106" s="13">
        <v>37023.86</v>
      </c>
      <c r="I106" s="3">
        <v>30.96</v>
      </c>
      <c r="J106" s="2"/>
      <c r="K106" s="2"/>
      <c r="L106" s="2"/>
      <c r="M106" s="4"/>
    </row>
    <row r="107" spans="1:13" s="5" customFormat="1" ht="24" customHeight="1" thickBot="1">
      <c r="A107" s="6">
        <v>46000</v>
      </c>
      <c r="B107" s="5" t="s">
        <v>53</v>
      </c>
      <c r="C107" s="5" t="s">
        <v>10</v>
      </c>
      <c r="D107" s="5" t="s">
        <v>34</v>
      </c>
      <c r="E107" s="7">
        <v>288709</v>
      </c>
      <c r="F107" s="3">
        <v>50</v>
      </c>
      <c r="G107" s="53">
        <v>1548</v>
      </c>
      <c r="H107" s="13">
        <v>35475.86</v>
      </c>
      <c r="I107" s="3">
        <v>30.96</v>
      </c>
      <c r="J107" s="2"/>
      <c r="K107" s="2"/>
      <c r="L107" s="2"/>
      <c r="M107" s="4"/>
    </row>
    <row r="108" spans="1:13" s="5" customFormat="1" ht="24" customHeight="1" thickBot="1">
      <c r="A108" s="6">
        <v>46000</v>
      </c>
      <c r="B108" s="5" t="s">
        <v>41</v>
      </c>
      <c r="C108" s="5" t="s">
        <v>9</v>
      </c>
      <c r="D108" s="5" t="s">
        <v>36</v>
      </c>
      <c r="E108" s="7">
        <v>916678</v>
      </c>
      <c r="F108" s="3">
        <v>80</v>
      </c>
      <c r="G108" s="53">
        <v>2476.8000000000002</v>
      </c>
      <c r="H108" s="13">
        <v>32999.06</v>
      </c>
      <c r="I108" s="3">
        <v>30.96</v>
      </c>
      <c r="J108" s="2"/>
      <c r="K108" s="2"/>
      <c r="L108" s="2"/>
      <c r="M108" s="4"/>
    </row>
    <row r="109" spans="1:13" s="5" customFormat="1" ht="24" customHeight="1" thickBot="1">
      <c r="A109" s="6">
        <v>46000</v>
      </c>
      <c r="B109" s="5" t="s">
        <v>39</v>
      </c>
      <c r="C109" s="5" t="s">
        <v>64</v>
      </c>
      <c r="D109" s="5" t="s">
        <v>34</v>
      </c>
      <c r="E109" s="7" t="s">
        <v>20</v>
      </c>
      <c r="F109" s="3">
        <v>16.14987080103359</v>
      </c>
      <c r="G109" s="53">
        <v>500</v>
      </c>
      <c r="H109" s="13">
        <v>32499.059999999998</v>
      </c>
      <c r="I109" s="3">
        <v>30.96</v>
      </c>
      <c r="J109" s="2"/>
      <c r="K109" s="2"/>
      <c r="L109" s="2"/>
      <c r="M109" s="4"/>
    </row>
    <row r="110" spans="1:13" s="5" customFormat="1" ht="24" customHeight="1" thickBot="1">
      <c r="A110" s="6">
        <v>46000</v>
      </c>
      <c r="B110" s="5" t="s">
        <v>45</v>
      </c>
      <c r="C110" s="5" t="s">
        <v>7</v>
      </c>
      <c r="D110" s="5" t="s">
        <v>36</v>
      </c>
      <c r="E110" s="7">
        <v>169321</v>
      </c>
      <c r="F110" s="3">
        <v>69.999999999999986</v>
      </c>
      <c r="G110" s="53">
        <v>2167.1999999999998</v>
      </c>
      <c r="H110" s="13">
        <v>30331.859999999997</v>
      </c>
      <c r="I110" s="3">
        <v>30.96</v>
      </c>
      <c r="J110" s="2"/>
      <c r="K110" s="2"/>
      <c r="L110" s="2"/>
      <c r="M110" s="4"/>
    </row>
    <row r="111" spans="1:13" s="5" customFormat="1" ht="24" customHeight="1" thickBot="1">
      <c r="A111" s="6">
        <v>46000</v>
      </c>
      <c r="B111" s="5" t="s">
        <v>61</v>
      </c>
      <c r="C111" s="5" t="s">
        <v>62</v>
      </c>
      <c r="D111" s="5" t="s">
        <v>36</v>
      </c>
      <c r="E111" s="7">
        <v>819229</v>
      </c>
      <c r="F111" s="3">
        <v>293.99870801033592</v>
      </c>
      <c r="G111" s="53">
        <v>9102.2000000000007</v>
      </c>
      <c r="H111" s="13">
        <v>21229.659999999996</v>
      </c>
      <c r="I111" s="3">
        <v>30.96</v>
      </c>
      <c r="J111" s="2"/>
      <c r="K111" s="2"/>
      <c r="L111" s="2"/>
      <c r="M111" s="4"/>
    </row>
    <row r="112" spans="1:13" s="5" customFormat="1" ht="24" customHeight="1" thickBot="1">
      <c r="A112" s="6">
        <v>46000</v>
      </c>
      <c r="B112" s="5" t="s">
        <v>44</v>
      </c>
      <c r="C112" s="5" t="s">
        <v>14</v>
      </c>
      <c r="D112" s="5" t="s">
        <v>36</v>
      </c>
      <c r="E112" s="7">
        <v>672465</v>
      </c>
      <c r="F112" s="3">
        <v>80</v>
      </c>
      <c r="G112" s="53">
        <v>2476.8000000000002</v>
      </c>
      <c r="H112" s="13">
        <v>18752.859999999997</v>
      </c>
      <c r="I112" s="3">
        <v>30.96</v>
      </c>
      <c r="J112" s="2"/>
      <c r="K112" s="2"/>
      <c r="L112" s="2"/>
      <c r="M112" s="4"/>
    </row>
    <row r="113" spans="1:13" s="5" customFormat="1" ht="24" customHeight="1" thickBot="1">
      <c r="A113" s="6">
        <v>46000</v>
      </c>
      <c r="B113" s="5" t="s">
        <v>49</v>
      </c>
      <c r="C113" s="5" t="s">
        <v>6</v>
      </c>
      <c r="D113" s="5" t="s">
        <v>36</v>
      </c>
      <c r="E113" s="7">
        <v>163621</v>
      </c>
      <c r="F113" s="3">
        <v>69.999999999999986</v>
      </c>
      <c r="G113" s="53">
        <v>2167.1999999999998</v>
      </c>
      <c r="H113" s="13">
        <v>16585.659999999996</v>
      </c>
      <c r="I113" s="3">
        <v>30.96</v>
      </c>
      <c r="J113" s="2"/>
      <c r="K113" s="2"/>
      <c r="L113" s="2"/>
      <c r="M113" s="4"/>
    </row>
    <row r="114" spans="1:13" s="5" customFormat="1" ht="24" customHeight="1" thickBot="1">
      <c r="A114" s="6">
        <v>46001</v>
      </c>
      <c r="B114" s="5" t="s">
        <v>52</v>
      </c>
      <c r="C114" s="5" t="s">
        <v>4</v>
      </c>
      <c r="D114" s="5" t="s">
        <v>35</v>
      </c>
      <c r="E114" s="7">
        <v>166633</v>
      </c>
      <c r="F114" s="3">
        <v>50</v>
      </c>
      <c r="G114" s="53">
        <v>1548</v>
      </c>
      <c r="H114" s="13">
        <v>15037.659999999996</v>
      </c>
      <c r="I114" s="3">
        <v>30.96</v>
      </c>
      <c r="J114" s="2"/>
      <c r="K114" s="2"/>
      <c r="L114" s="2"/>
      <c r="M114" s="4"/>
    </row>
    <row r="115" spans="1:13" s="5" customFormat="1" ht="24" customHeight="1" thickBot="1">
      <c r="A115" s="6">
        <v>46001</v>
      </c>
      <c r="B115" s="5" t="s">
        <v>42</v>
      </c>
      <c r="C115" s="5" t="s">
        <v>32</v>
      </c>
      <c r="D115" s="5" t="s">
        <v>35</v>
      </c>
      <c r="E115" s="7">
        <v>268534</v>
      </c>
      <c r="F115" s="3">
        <v>50</v>
      </c>
      <c r="G115" s="53">
        <v>1548</v>
      </c>
      <c r="H115" s="13">
        <v>13489.659999999996</v>
      </c>
      <c r="I115" s="3">
        <v>30.96</v>
      </c>
      <c r="J115" s="2"/>
      <c r="K115" s="2"/>
      <c r="L115" s="2"/>
      <c r="M115" s="4"/>
    </row>
    <row r="116" spans="1:13" s="5" customFormat="1" ht="24" customHeight="1" thickBot="1">
      <c r="A116" s="6">
        <v>46001</v>
      </c>
      <c r="B116" s="5" t="s">
        <v>54</v>
      </c>
      <c r="C116" s="5" t="s">
        <v>16</v>
      </c>
      <c r="D116" s="5" t="s">
        <v>35</v>
      </c>
      <c r="E116" s="7">
        <v>228201</v>
      </c>
      <c r="F116" s="3">
        <v>50</v>
      </c>
      <c r="G116" s="53">
        <v>1548</v>
      </c>
      <c r="H116" s="13">
        <v>11941.659999999996</v>
      </c>
      <c r="I116" s="3">
        <v>30.96</v>
      </c>
      <c r="J116" s="2"/>
      <c r="K116" s="2"/>
      <c r="L116" s="2"/>
      <c r="M116" s="4"/>
    </row>
    <row r="117" spans="1:13" s="5" customFormat="1" ht="24" customHeight="1" thickBot="1">
      <c r="A117" s="6">
        <v>46001</v>
      </c>
      <c r="B117" s="5" t="s">
        <v>92</v>
      </c>
      <c r="C117" s="5" t="s">
        <v>8</v>
      </c>
      <c r="D117" s="5" t="s">
        <v>35</v>
      </c>
      <c r="E117" s="7">
        <v>27035</v>
      </c>
      <c r="F117" s="3">
        <v>59.999999999999993</v>
      </c>
      <c r="G117" s="53">
        <v>1857.6</v>
      </c>
      <c r="H117" s="13">
        <v>10084.059999999996</v>
      </c>
      <c r="I117" s="3">
        <v>30.96</v>
      </c>
      <c r="J117" s="2"/>
      <c r="K117" s="2"/>
      <c r="L117" s="2"/>
      <c r="M117" s="4"/>
    </row>
    <row r="118" spans="1:13" s="5" customFormat="1" ht="24" customHeight="1" thickBot="1">
      <c r="A118" s="6">
        <v>46001</v>
      </c>
      <c r="B118" s="5" t="s">
        <v>41</v>
      </c>
      <c r="C118" s="5" t="s">
        <v>9</v>
      </c>
      <c r="D118" s="5" t="s">
        <v>35</v>
      </c>
      <c r="E118" s="7">
        <v>916937</v>
      </c>
      <c r="F118" s="3">
        <v>59.999999999999993</v>
      </c>
      <c r="G118" s="53">
        <v>1857.6</v>
      </c>
      <c r="H118" s="13">
        <v>8226.4599999999955</v>
      </c>
      <c r="I118" s="3">
        <v>30.96</v>
      </c>
      <c r="J118" s="2"/>
      <c r="K118" s="2"/>
      <c r="L118" s="2"/>
      <c r="M118" s="4"/>
    </row>
    <row r="119" spans="1:13" s="5" customFormat="1" ht="24" customHeight="1" thickBot="1">
      <c r="A119" s="6">
        <v>46001</v>
      </c>
      <c r="B119" s="5" t="s">
        <v>44</v>
      </c>
      <c r="C119" s="5" t="s">
        <v>14</v>
      </c>
      <c r="D119" s="5" t="s">
        <v>36</v>
      </c>
      <c r="E119" s="7">
        <v>672604</v>
      </c>
      <c r="F119" s="3">
        <v>59.999999999999993</v>
      </c>
      <c r="G119" s="53">
        <v>1857.6</v>
      </c>
      <c r="H119" s="13">
        <v>6368.8599999999951</v>
      </c>
      <c r="I119" s="3">
        <v>30.96</v>
      </c>
      <c r="J119" s="2"/>
      <c r="K119" s="2"/>
      <c r="L119" s="2"/>
      <c r="M119" s="4"/>
    </row>
    <row r="120" spans="1:13" s="5" customFormat="1" ht="24" customHeight="1" thickBot="1">
      <c r="A120" s="6">
        <v>46001</v>
      </c>
      <c r="B120" s="5" t="s">
        <v>48</v>
      </c>
      <c r="C120" s="5" t="s">
        <v>17</v>
      </c>
      <c r="D120" s="5" t="s">
        <v>36</v>
      </c>
      <c r="E120" s="7">
        <v>153592</v>
      </c>
      <c r="F120" s="3">
        <v>50</v>
      </c>
      <c r="G120" s="53">
        <v>1548</v>
      </c>
      <c r="H120" s="13">
        <v>4820.8599999999951</v>
      </c>
      <c r="I120" s="3">
        <v>30.96</v>
      </c>
      <c r="J120" s="2"/>
      <c r="K120" s="2"/>
      <c r="L120" s="2"/>
      <c r="M120" s="4"/>
    </row>
    <row r="121" spans="1:13" s="5" customFormat="1" ht="24" customHeight="1" thickBot="1">
      <c r="A121" s="6">
        <v>46001</v>
      </c>
      <c r="B121" s="5" t="s">
        <v>59</v>
      </c>
      <c r="C121" s="5" t="s">
        <v>11</v>
      </c>
      <c r="D121" s="5" t="s">
        <v>34</v>
      </c>
      <c r="E121" s="7">
        <v>229833</v>
      </c>
      <c r="F121" s="3">
        <v>50</v>
      </c>
      <c r="G121" s="53">
        <v>1548</v>
      </c>
      <c r="H121" s="13">
        <v>3272.8599999999951</v>
      </c>
      <c r="I121" s="3">
        <v>30.96</v>
      </c>
      <c r="J121" s="2"/>
      <c r="K121" s="2"/>
      <c r="L121" s="2"/>
      <c r="M121" s="4"/>
    </row>
    <row r="122" spans="1:13" s="5" customFormat="1" ht="24" customHeight="1" thickBot="1">
      <c r="A122" s="6">
        <v>46001</v>
      </c>
      <c r="B122" s="5" t="s">
        <v>45</v>
      </c>
      <c r="C122" s="5" t="s">
        <v>7</v>
      </c>
      <c r="D122" s="5" t="s">
        <v>34</v>
      </c>
      <c r="E122" s="7">
        <v>169559</v>
      </c>
      <c r="F122" s="3">
        <v>59.999999999999993</v>
      </c>
      <c r="G122" s="53">
        <v>1857.6</v>
      </c>
      <c r="H122" s="13">
        <v>1415.2599999999952</v>
      </c>
      <c r="I122" s="3">
        <v>30.96</v>
      </c>
      <c r="J122" s="2"/>
      <c r="K122" s="2"/>
      <c r="L122" s="2"/>
      <c r="M122" s="4"/>
    </row>
    <row r="123" spans="1:13" s="5" customFormat="1" ht="24" customHeight="1" thickBot="1">
      <c r="A123" s="6">
        <v>46001</v>
      </c>
      <c r="B123" s="61" t="s">
        <v>63</v>
      </c>
      <c r="C123" s="61" t="s">
        <v>13</v>
      </c>
      <c r="D123" s="5" t="s">
        <v>36</v>
      </c>
      <c r="E123" s="7">
        <v>248075</v>
      </c>
      <c r="F123" s="3">
        <v>163.00064599483204</v>
      </c>
      <c r="G123" s="53">
        <v>5046.5</v>
      </c>
      <c r="H123" s="13">
        <v>-3631.2400000000048</v>
      </c>
      <c r="I123" s="3">
        <v>30.96</v>
      </c>
      <c r="J123" s="2"/>
      <c r="K123" s="2"/>
      <c r="L123" s="2"/>
      <c r="M123" s="4"/>
    </row>
    <row r="124" spans="1:13" s="5" customFormat="1" ht="24" customHeight="1" thickBot="1">
      <c r="A124" s="6">
        <v>46002</v>
      </c>
      <c r="B124" s="5" t="s">
        <v>49</v>
      </c>
      <c r="C124" s="5" t="s">
        <v>6</v>
      </c>
      <c r="D124" s="5" t="s">
        <v>36</v>
      </c>
      <c r="E124" s="7">
        <v>163841</v>
      </c>
      <c r="F124" s="3">
        <v>50</v>
      </c>
      <c r="G124" s="53">
        <v>1548</v>
      </c>
      <c r="H124" s="13">
        <v>-5179.2400000000052</v>
      </c>
      <c r="I124" s="3">
        <v>30.96</v>
      </c>
      <c r="J124" s="2"/>
      <c r="K124" s="2"/>
      <c r="L124" s="2"/>
      <c r="M124" s="4"/>
    </row>
    <row r="125" spans="1:13" s="5" customFormat="1" ht="24" customHeight="1" thickBot="1">
      <c r="A125" s="6">
        <v>46002</v>
      </c>
      <c r="B125" s="5" t="s">
        <v>50</v>
      </c>
      <c r="C125" s="5" t="s">
        <v>5</v>
      </c>
      <c r="D125" s="5" t="s">
        <v>34</v>
      </c>
      <c r="E125" s="7">
        <v>190628</v>
      </c>
      <c r="F125" s="3">
        <v>50</v>
      </c>
      <c r="G125" s="53">
        <v>1548</v>
      </c>
      <c r="H125" s="13">
        <v>-6727.2400000000052</v>
      </c>
      <c r="I125" s="3">
        <v>30.96</v>
      </c>
      <c r="J125" s="2"/>
      <c r="K125" s="2"/>
      <c r="L125" s="2"/>
      <c r="M125" s="4"/>
    </row>
    <row r="126" spans="1:13" s="5" customFormat="1" ht="24" customHeight="1" thickBot="1">
      <c r="A126" s="6">
        <v>46002</v>
      </c>
      <c r="B126" s="5" t="s">
        <v>55</v>
      </c>
      <c r="C126" s="5" t="s">
        <v>15</v>
      </c>
      <c r="D126" s="5" t="s">
        <v>36</v>
      </c>
      <c r="E126" s="7">
        <v>275600</v>
      </c>
      <c r="F126" s="3">
        <v>50</v>
      </c>
      <c r="G126" s="53">
        <v>1548</v>
      </c>
      <c r="H126" s="13">
        <v>-8275.2400000000052</v>
      </c>
      <c r="I126" s="3">
        <v>30.96</v>
      </c>
      <c r="J126" s="2"/>
      <c r="K126" s="2"/>
      <c r="L126" s="2"/>
      <c r="M126" s="4"/>
    </row>
    <row r="127" spans="1:13" s="5" customFormat="1" ht="24" customHeight="1" thickBot="1">
      <c r="A127" s="6">
        <v>46002</v>
      </c>
      <c r="B127" s="5" t="s">
        <v>92</v>
      </c>
      <c r="C127" s="5" t="s">
        <v>8</v>
      </c>
      <c r="D127" s="5" t="s">
        <v>34</v>
      </c>
      <c r="E127" s="7">
        <v>27165</v>
      </c>
      <c r="F127" s="3">
        <v>59.999999999999993</v>
      </c>
      <c r="G127" s="53">
        <v>1857.6</v>
      </c>
      <c r="H127" s="13">
        <v>-10132.840000000006</v>
      </c>
      <c r="I127" s="3">
        <v>30.96</v>
      </c>
      <c r="J127" s="2"/>
      <c r="K127" s="2"/>
      <c r="L127" s="2"/>
      <c r="M127" s="4"/>
    </row>
    <row r="128" spans="1:13" s="5" customFormat="1" ht="24" customHeight="1" thickBot="1">
      <c r="A128" s="6">
        <v>46002</v>
      </c>
      <c r="B128" s="61" t="s">
        <v>43</v>
      </c>
      <c r="C128" s="61" t="s">
        <v>1</v>
      </c>
      <c r="D128" s="5" t="s">
        <v>34</v>
      </c>
      <c r="E128" s="7">
        <v>163824</v>
      </c>
      <c r="F128" s="3">
        <v>50</v>
      </c>
      <c r="G128" s="53">
        <v>1548</v>
      </c>
      <c r="H128" s="13">
        <v>-11680.840000000006</v>
      </c>
      <c r="I128" s="3">
        <v>30.96</v>
      </c>
      <c r="J128" s="2"/>
      <c r="K128" s="2"/>
      <c r="L128" s="2"/>
      <c r="M128" s="4"/>
    </row>
    <row r="129" spans="1:13" s="5" customFormat="1" ht="24" customHeight="1" thickBot="1">
      <c r="A129" s="6">
        <v>46002</v>
      </c>
      <c r="B129" s="61" t="s">
        <v>58</v>
      </c>
      <c r="C129" s="61" t="s">
        <v>94</v>
      </c>
      <c r="D129" s="5" t="s">
        <v>36</v>
      </c>
      <c r="E129" s="7">
        <v>196097</v>
      </c>
      <c r="F129" s="3">
        <v>50</v>
      </c>
      <c r="G129" s="53">
        <v>1548</v>
      </c>
      <c r="H129" s="13">
        <v>-13228.840000000006</v>
      </c>
      <c r="I129" s="3">
        <v>30.96</v>
      </c>
      <c r="J129" s="2"/>
      <c r="K129" s="2"/>
      <c r="L129" s="2"/>
      <c r="M129" s="4"/>
    </row>
    <row r="130" spans="1:13" s="5" customFormat="1" ht="24" customHeight="1" thickBot="1">
      <c r="A130" s="6">
        <v>46002</v>
      </c>
      <c r="B130" s="5" t="s">
        <v>44</v>
      </c>
      <c r="C130" s="5" t="s">
        <v>14</v>
      </c>
      <c r="D130" s="5" t="s">
        <v>36</v>
      </c>
      <c r="E130" s="7">
        <v>672720</v>
      </c>
      <c r="F130" s="3">
        <v>59.999999999999993</v>
      </c>
      <c r="G130" s="53">
        <v>1857.6</v>
      </c>
      <c r="H130" s="13">
        <v>-15086.440000000006</v>
      </c>
      <c r="I130" s="3">
        <v>30.96</v>
      </c>
      <c r="J130" s="2"/>
      <c r="K130" s="2"/>
      <c r="L130" s="2"/>
      <c r="M130" s="4"/>
    </row>
    <row r="131" spans="1:13" s="5" customFormat="1" ht="24" customHeight="1" thickBot="1">
      <c r="A131" s="6">
        <v>46002</v>
      </c>
      <c r="B131" s="5" t="s">
        <v>51</v>
      </c>
      <c r="C131" s="5" t="s">
        <v>3</v>
      </c>
      <c r="D131" s="5" t="s">
        <v>34</v>
      </c>
      <c r="E131" s="7">
        <v>299249</v>
      </c>
      <c r="F131" s="3">
        <v>50</v>
      </c>
      <c r="G131" s="53">
        <v>1548</v>
      </c>
      <c r="H131" s="13">
        <v>-16634.440000000006</v>
      </c>
      <c r="I131" s="3">
        <v>30.96</v>
      </c>
      <c r="J131" s="2"/>
      <c r="K131" s="2"/>
      <c r="L131" s="2"/>
      <c r="M131" s="4"/>
    </row>
    <row r="132" spans="1:13" s="5" customFormat="1" ht="24" customHeight="1" thickBot="1">
      <c r="A132" s="6">
        <v>46002</v>
      </c>
      <c r="B132" s="5" t="s">
        <v>42</v>
      </c>
      <c r="C132" s="5" t="s">
        <v>32</v>
      </c>
      <c r="D132" s="5" t="s">
        <v>36</v>
      </c>
      <c r="E132" s="7">
        <v>268678</v>
      </c>
      <c r="F132" s="3">
        <v>50</v>
      </c>
      <c r="G132" s="53">
        <v>1548</v>
      </c>
      <c r="H132" s="13">
        <v>-18182.440000000006</v>
      </c>
      <c r="I132" s="3">
        <v>30.96</v>
      </c>
      <c r="J132" s="2"/>
      <c r="K132" s="2"/>
      <c r="L132" s="2"/>
      <c r="M132" s="4"/>
    </row>
    <row r="133" spans="1:13" s="5" customFormat="1" ht="24" customHeight="1" thickBot="1">
      <c r="A133" s="6">
        <v>46002</v>
      </c>
      <c r="B133" s="5" t="s">
        <v>60</v>
      </c>
      <c r="C133" s="5" t="s">
        <v>2</v>
      </c>
      <c r="D133" s="5" t="s">
        <v>36</v>
      </c>
      <c r="E133" s="7">
        <v>143281</v>
      </c>
      <c r="F133" s="3">
        <v>50</v>
      </c>
      <c r="G133" s="53">
        <v>1548</v>
      </c>
      <c r="H133" s="13">
        <v>-19730.440000000006</v>
      </c>
      <c r="I133" s="3">
        <v>30.96</v>
      </c>
      <c r="J133" s="2"/>
      <c r="K133" s="2"/>
      <c r="L133" s="2"/>
      <c r="M133" s="4"/>
    </row>
    <row r="134" spans="1:13" s="5" customFormat="1" ht="24" customHeight="1" thickBot="1">
      <c r="A134" s="6">
        <v>46002</v>
      </c>
      <c r="B134" s="5" t="s">
        <v>52</v>
      </c>
      <c r="C134" s="5" t="s">
        <v>4</v>
      </c>
      <c r="D134" s="5" t="s">
        <v>36</v>
      </c>
      <c r="E134" s="7">
        <v>166780</v>
      </c>
      <c r="F134" s="3">
        <v>50</v>
      </c>
      <c r="G134" s="53">
        <v>1548</v>
      </c>
      <c r="H134" s="13">
        <v>-21278.440000000006</v>
      </c>
      <c r="I134" s="3">
        <v>30.96</v>
      </c>
      <c r="J134" s="2"/>
      <c r="K134" s="2"/>
      <c r="L134" s="2"/>
      <c r="M134" s="4"/>
    </row>
    <row r="135" spans="1:13" s="5" customFormat="1" ht="24" customHeight="1" thickBot="1">
      <c r="A135" s="6">
        <v>46002</v>
      </c>
      <c r="B135" s="5" t="s">
        <v>54</v>
      </c>
      <c r="C135" s="5" t="s">
        <v>16</v>
      </c>
      <c r="D135" s="5" t="s">
        <v>36</v>
      </c>
      <c r="E135" s="7">
        <v>228367</v>
      </c>
      <c r="F135" s="3">
        <v>50</v>
      </c>
      <c r="G135" s="53">
        <v>1548</v>
      </c>
      <c r="H135" s="13">
        <v>-22826.440000000006</v>
      </c>
      <c r="I135" s="3">
        <v>30.96</v>
      </c>
      <c r="J135" s="2"/>
      <c r="K135" s="2"/>
      <c r="L135" s="2"/>
      <c r="M135" s="4"/>
    </row>
    <row r="136" spans="1:13" s="5" customFormat="1" ht="24" customHeight="1" thickBot="1">
      <c r="A136" s="6">
        <v>46002</v>
      </c>
      <c r="B136" s="5" t="s">
        <v>57</v>
      </c>
      <c r="C136" s="5" t="s">
        <v>12</v>
      </c>
      <c r="D136" s="5" t="s">
        <v>36</v>
      </c>
      <c r="E136" s="7">
        <v>165600</v>
      </c>
      <c r="F136" s="3">
        <v>50</v>
      </c>
      <c r="G136" s="53">
        <v>1548</v>
      </c>
      <c r="H136" s="13">
        <v>-24374.440000000006</v>
      </c>
      <c r="I136" s="3">
        <v>30.96</v>
      </c>
      <c r="J136" s="2"/>
      <c r="K136" s="2"/>
      <c r="L136" s="2"/>
      <c r="M136" s="4"/>
    </row>
    <row r="137" spans="1:13" s="5" customFormat="1" ht="24" customHeight="1" thickBot="1">
      <c r="A137" s="6">
        <v>46002</v>
      </c>
      <c r="B137" s="5" t="s">
        <v>39</v>
      </c>
      <c r="C137" s="5" t="s">
        <v>64</v>
      </c>
      <c r="D137" s="5" t="s">
        <v>34</v>
      </c>
      <c r="E137" s="7" t="s">
        <v>20</v>
      </c>
      <c r="F137" s="3">
        <v>16.14987080103359</v>
      </c>
      <c r="G137" s="53">
        <v>500</v>
      </c>
      <c r="H137" s="13">
        <v>-24874.440000000006</v>
      </c>
      <c r="I137" s="3">
        <v>30.96</v>
      </c>
      <c r="J137" s="2"/>
      <c r="K137" s="2"/>
      <c r="L137" s="2"/>
      <c r="M137" s="4"/>
    </row>
    <row r="138" spans="1:13" s="5" customFormat="1" ht="24" customHeight="1" thickBot="1">
      <c r="A138" s="6">
        <v>46002</v>
      </c>
      <c r="B138" s="5" t="s">
        <v>45</v>
      </c>
      <c r="C138" s="5" t="s">
        <v>7</v>
      </c>
      <c r="D138" s="5" t="s">
        <v>34</v>
      </c>
      <c r="E138" s="7">
        <v>169767</v>
      </c>
      <c r="F138" s="3">
        <v>50</v>
      </c>
      <c r="G138" s="53">
        <v>1548</v>
      </c>
      <c r="H138" s="13">
        <v>-26422.440000000006</v>
      </c>
      <c r="I138" s="3">
        <v>30.96</v>
      </c>
      <c r="J138" s="2"/>
      <c r="K138" s="2"/>
      <c r="L138" s="2"/>
      <c r="M138" s="4"/>
    </row>
    <row r="139" spans="1:13" s="5" customFormat="1" ht="24" customHeight="1" thickBot="1">
      <c r="A139" s="6">
        <v>46002</v>
      </c>
      <c r="B139" s="5" t="s">
        <v>48</v>
      </c>
      <c r="C139" s="5" t="s">
        <v>17</v>
      </c>
      <c r="D139" s="5" t="s">
        <v>36</v>
      </c>
      <c r="E139" s="7">
        <v>153822</v>
      </c>
      <c r="F139" s="3">
        <v>50</v>
      </c>
      <c r="G139" s="53">
        <v>1548</v>
      </c>
      <c r="H139" s="13">
        <v>-27970.440000000006</v>
      </c>
      <c r="I139" s="3">
        <v>30.96</v>
      </c>
      <c r="J139" s="2"/>
      <c r="K139" s="2"/>
      <c r="L139" s="2"/>
      <c r="M139" s="4"/>
    </row>
    <row r="140" spans="1:13" s="5" customFormat="1" ht="24" customHeight="1" thickBot="1">
      <c r="A140" s="6">
        <v>46002</v>
      </c>
      <c r="B140" s="5" t="s">
        <v>50</v>
      </c>
      <c r="C140" s="5" t="s">
        <v>5</v>
      </c>
      <c r="D140" s="5" t="s">
        <v>34</v>
      </c>
      <c r="E140" s="7">
        <v>190743</v>
      </c>
      <c r="F140" s="3">
        <v>90</v>
      </c>
      <c r="G140" s="53">
        <v>2786.4</v>
      </c>
      <c r="H140" s="13">
        <v>-30756.840000000007</v>
      </c>
      <c r="I140" s="3">
        <v>30.96</v>
      </c>
      <c r="J140" s="2"/>
      <c r="K140" s="2"/>
      <c r="L140" s="2"/>
      <c r="M140" s="4"/>
    </row>
    <row r="141" spans="1:13" s="5" customFormat="1" ht="24" customHeight="1" thickBot="1">
      <c r="A141" s="6">
        <v>46002</v>
      </c>
      <c r="B141" s="5" t="s">
        <v>41</v>
      </c>
      <c r="C141" s="5" t="s">
        <v>9</v>
      </c>
      <c r="D141" s="5" t="s">
        <v>36</v>
      </c>
      <c r="E141" s="7">
        <v>917098</v>
      </c>
      <c r="F141" s="3">
        <v>59.999999999999993</v>
      </c>
      <c r="G141" s="53">
        <v>1857.6</v>
      </c>
      <c r="H141" s="13">
        <v>-32614.440000000006</v>
      </c>
      <c r="I141" s="3">
        <v>30.96</v>
      </c>
      <c r="J141" s="2"/>
      <c r="K141" s="2"/>
      <c r="L141" s="2"/>
      <c r="M141" s="4"/>
    </row>
    <row r="142" spans="1:13" s="5" customFormat="1" ht="24" customHeight="1" thickBot="1">
      <c r="A142" s="6">
        <v>46003</v>
      </c>
      <c r="B142" s="5" t="s">
        <v>53</v>
      </c>
      <c r="C142" s="5" t="s">
        <v>10</v>
      </c>
      <c r="D142" s="5" t="s">
        <v>34</v>
      </c>
      <c r="E142" s="7">
        <v>288894</v>
      </c>
      <c r="F142" s="3">
        <v>50</v>
      </c>
      <c r="G142" s="53">
        <v>1548</v>
      </c>
      <c r="H142" s="13">
        <v>-34162.44</v>
      </c>
      <c r="I142" s="3">
        <v>30.96</v>
      </c>
      <c r="J142" s="2"/>
      <c r="K142" s="2"/>
      <c r="L142" s="2"/>
      <c r="M142" s="4"/>
    </row>
    <row r="143" spans="1:13" s="5" customFormat="1" ht="24" customHeight="1" thickBot="1">
      <c r="A143" s="6">
        <v>46002</v>
      </c>
      <c r="B143" s="5" t="s">
        <v>39</v>
      </c>
      <c r="C143" s="5" t="s">
        <v>64</v>
      </c>
      <c r="D143" s="5" t="s">
        <v>34</v>
      </c>
      <c r="E143" s="7" t="s">
        <v>20</v>
      </c>
      <c r="F143" s="3">
        <v>16.14987080103359</v>
      </c>
      <c r="G143" s="53">
        <v>500</v>
      </c>
      <c r="H143" s="13">
        <v>-34662.44</v>
      </c>
      <c r="I143" s="3">
        <v>30.96</v>
      </c>
      <c r="J143" s="2"/>
      <c r="K143" s="2"/>
      <c r="L143" s="2"/>
      <c r="M143" s="4"/>
    </row>
    <row r="144" spans="1:13" s="5" customFormat="1" ht="24" customHeight="1" thickBot="1">
      <c r="A144" s="6">
        <v>46003</v>
      </c>
      <c r="B144" s="61" t="s">
        <v>43</v>
      </c>
      <c r="C144" s="61" t="s">
        <v>1</v>
      </c>
      <c r="D144" s="5" t="s">
        <v>36</v>
      </c>
      <c r="E144" s="7">
        <v>164007</v>
      </c>
      <c r="F144" s="3">
        <v>90</v>
      </c>
      <c r="G144" s="53">
        <v>2786.4</v>
      </c>
      <c r="H144" s="13">
        <v>-37448.840000000004</v>
      </c>
      <c r="I144" s="3">
        <v>30.96</v>
      </c>
      <c r="J144" s="2"/>
      <c r="K144" s="2"/>
      <c r="L144" s="2"/>
      <c r="M144" s="4"/>
    </row>
    <row r="145" spans="1:13" s="5" customFormat="1" ht="24" customHeight="1" thickBot="1">
      <c r="A145" s="6">
        <v>46003</v>
      </c>
      <c r="B145" s="14" t="s">
        <v>20</v>
      </c>
      <c r="C145" s="14" t="s">
        <v>20</v>
      </c>
      <c r="D145" s="14" t="s">
        <v>20</v>
      </c>
      <c r="E145" s="15" t="s">
        <v>65</v>
      </c>
      <c r="F145" s="3"/>
      <c r="G145" s="53">
        <v>-75000</v>
      </c>
      <c r="H145" s="13">
        <v>37551.159999999996</v>
      </c>
      <c r="I145" s="3">
        <v>30.96</v>
      </c>
      <c r="J145" s="2" t="s">
        <v>102</v>
      </c>
      <c r="K145" s="2"/>
      <c r="L145" s="2"/>
      <c r="M145" s="4"/>
    </row>
    <row r="146" spans="1:13" s="5" customFormat="1" ht="24" customHeight="1" thickBot="1">
      <c r="A146" s="6">
        <v>46003</v>
      </c>
      <c r="B146" s="5" t="s">
        <v>55</v>
      </c>
      <c r="C146" s="5" t="s">
        <v>15</v>
      </c>
      <c r="D146" s="5" t="s">
        <v>36</v>
      </c>
      <c r="E146" s="7">
        <v>275713</v>
      </c>
      <c r="F146" s="3">
        <v>50</v>
      </c>
      <c r="G146" s="53">
        <v>1548</v>
      </c>
      <c r="H146" s="13">
        <v>36003.159999999996</v>
      </c>
      <c r="I146" s="3">
        <v>30.96</v>
      </c>
      <c r="J146" s="2"/>
      <c r="K146" s="2"/>
      <c r="L146" s="2"/>
      <c r="M146" s="4"/>
    </row>
    <row r="147" spans="1:13" s="55" customFormat="1" ht="24" customHeight="1" thickBot="1">
      <c r="A147" s="54">
        <v>46003</v>
      </c>
      <c r="B147" s="55" t="s">
        <v>51</v>
      </c>
      <c r="C147" s="55" t="s">
        <v>3</v>
      </c>
      <c r="D147" s="55" t="s">
        <v>34</v>
      </c>
      <c r="E147" s="56">
        <v>299359</v>
      </c>
      <c r="F147" s="57">
        <v>50</v>
      </c>
      <c r="G147" s="58">
        <v>1548</v>
      </c>
      <c r="H147" s="13">
        <v>34455.159999999996</v>
      </c>
      <c r="I147" s="57">
        <v>30.96</v>
      </c>
      <c r="J147" s="59"/>
      <c r="K147" s="59"/>
      <c r="L147" s="59"/>
      <c r="M147" s="60"/>
    </row>
    <row r="148" spans="1:13" s="55" customFormat="1" ht="24" customHeight="1" thickBot="1">
      <c r="A148" s="62">
        <v>46006</v>
      </c>
      <c r="B148" s="63" t="s">
        <v>51</v>
      </c>
      <c r="C148" s="63" t="s">
        <v>3</v>
      </c>
      <c r="D148" s="63" t="s">
        <v>103</v>
      </c>
      <c r="E148" s="64">
        <v>299722</v>
      </c>
      <c r="F148" s="65">
        <v>66.02839220864972</v>
      </c>
      <c r="G148" s="65">
        <v>2000</v>
      </c>
      <c r="H148" s="13">
        <v>32455.159999999996</v>
      </c>
      <c r="I148" s="65">
        <v>30.29</v>
      </c>
      <c r="J148" s="63"/>
      <c r="K148" s="63" t="s">
        <v>104</v>
      </c>
      <c r="L148" s="59"/>
      <c r="M148" s="60"/>
    </row>
    <row r="149" spans="1:13" s="55" customFormat="1" ht="24" customHeight="1" thickBot="1">
      <c r="A149" s="62">
        <v>46006</v>
      </c>
      <c r="B149" s="63" t="s">
        <v>51</v>
      </c>
      <c r="C149" s="63" t="s">
        <v>3</v>
      </c>
      <c r="D149" s="63" t="s">
        <v>103</v>
      </c>
      <c r="E149" s="64">
        <v>299722</v>
      </c>
      <c r="F149" s="65">
        <v>-66.02839220864972</v>
      </c>
      <c r="G149" s="65">
        <v>-2000</v>
      </c>
      <c r="H149" s="13">
        <v>34455.159999999996</v>
      </c>
      <c r="I149" s="65">
        <v>30.29</v>
      </c>
      <c r="J149" s="63"/>
      <c r="K149" s="63" t="s">
        <v>104</v>
      </c>
      <c r="L149" s="59"/>
      <c r="M149" s="60"/>
    </row>
    <row r="150" spans="1:13" s="5" customFormat="1" ht="24" customHeight="1" thickBot="1">
      <c r="A150" s="6">
        <v>46003</v>
      </c>
      <c r="B150" s="5" t="s">
        <v>42</v>
      </c>
      <c r="C150" s="5" t="s">
        <v>32</v>
      </c>
      <c r="D150" s="5" t="s">
        <v>34</v>
      </c>
      <c r="E150" s="7">
        <v>268790</v>
      </c>
      <c r="F150" s="3">
        <v>50</v>
      </c>
      <c r="G150" s="53">
        <v>1548</v>
      </c>
      <c r="H150" s="13">
        <v>32907.159999999996</v>
      </c>
      <c r="I150" s="3">
        <v>30.96</v>
      </c>
      <c r="J150" s="2"/>
      <c r="K150" s="2"/>
      <c r="L150" s="2"/>
      <c r="M150" s="4"/>
    </row>
    <row r="151" spans="1:13" s="5" customFormat="1" ht="24" customHeight="1" thickBot="1">
      <c r="A151" s="6">
        <v>46003</v>
      </c>
      <c r="B151" s="5" t="s">
        <v>59</v>
      </c>
      <c r="C151" s="5" t="s">
        <v>11</v>
      </c>
      <c r="D151" s="5" t="s">
        <v>36</v>
      </c>
      <c r="E151" s="7">
        <v>230094</v>
      </c>
      <c r="F151" s="3">
        <v>50</v>
      </c>
      <c r="G151" s="53">
        <v>1548</v>
      </c>
      <c r="H151" s="13">
        <v>31359.159999999996</v>
      </c>
      <c r="I151" s="3">
        <v>30.96</v>
      </c>
      <c r="J151" s="2"/>
      <c r="K151" s="2"/>
      <c r="L151" s="2"/>
      <c r="M151" s="4"/>
    </row>
    <row r="152" spans="1:13" s="5" customFormat="1" ht="24" customHeight="1" thickBot="1">
      <c r="A152" s="6">
        <v>46003</v>
      </c>
      <c r="B152" s="5" t="s">
        <v>49</v>
      </c>
      <c r="C152" s="5" t="s">
        <v>6</v>
      </c>
      <c r="D152" s="5" t="s">
        <v>36</v>
      </c>
      <c r="E152" s="7">
        <v>163992</v>
      </c>
      <c r="F152" s="3">
        <v>50</v>
      </c>
      <c r="G152" s="53">
        <v>1548</v>
      </c>
      <c r="H152" s="13">
        <v>29811.159999999996</v>
      </c>
      <c r="I152" s="3">
        <v>30.96</v>
      </c>
      <c r="J152" s="2"/>
      <c r="K152" s="2"/>
      <c r="L152" s="2"/>
      <c r="M152" s="4"/>
    </row>
    <row r="153" spans="1:13" s="5" customFormat="1" ht="24" customHeight="1" thickBot="1">
      <c r="A153" s="6">
        <v>46003</v>
      </c>
      <c r="B153" s="5" t="s">
        <v>92</v>
      </c>
      <c r="C153" s="5" t="s">
        <v>8</v>
      </c>
      <c r="D153" s="5" t="s">
        <v>35</v>
      </c>
      <c r="E153" s="7">
        <v>27371</v>
      </c>
      <c r="F153" s="3">
        <v>59.999999999999993</v>
      </c>
      <c r="G153" s="53">
        <v>1857.6</v>
      </c>
      <c r="H153" s="13">
        <v>27953.559999999998</v>
      </c>
      <c r="I153" s="3">
        <v>30.96</v>
      </c>
      <c r="J153" s="2"/>
      <c r="K153" s="2"/>
      <c r="L153" s="2"/>
      <c r="M153" s="4"/>
    </row>
    <row r="154" spans="1:13" s="5" customFormat="1" ht="24" customHeight="1" thickBot="1">
      <c r="A154" s="6">
        <v>46003</v>
      </c>
      <c r="B154" s="5" t="s">
        <v>60</v>
      </c>
      <c r="C154" s="5" t="s">
        <v>2</v>
      </c>
      <c r="D154" s="5" t="s">
        <v>35</v>
      </c>
      <c r="E154" s="7">
        <v>143435</v>
      </c>
      <c r="F154" s="3">
        <v>50</v>
      </c>
      <c r="G154" s="53">
        <v>1548</v>
      </c>
      <c r="H154" s="13">
        <v>26405.559999999998</v>
      </c>
      <c r="I154" s="3">
        <v>30.96</v>
      </c>
      <c r="J154" s="2"/>
      <c r="K154" s="2"/>
      <c r="L154" s="2"/>
      <c r="M154" s="4"/>
    </row>
    <row r="155" spans="1:13" s="5" customFormat="1" ht="24" customHeight="1" thickBot="1">
      <c r="A155" s="6">
        <v>46003</v>
      </c>
      <c r="B155" s="5" t="s">
        <v>57</v>
      </c>
      <c r="C155" s="5" t="s">
        <v>12</v>
      </c>
      <c r="D155" s="5" t="s">
        <v>34</v>
      </c>
      <c r="E155" s="7">
        <v>165743</v>
      </c>
      <c r="F155" s="3">
        <v>50</v>
      </c>
      <c r="G155" s="53">
        <v>1548</v>
      </c>
      <c r="H155" s="13">
        <v>24857.559999999998</v>
      </c>
      <c r="I155" s="3">
        <v>30.96</v>
      </c>
      <c r="J155" s="2"/>
      <c r="K155" s="2"/>
      <c r="L155" s="2"/>
      <c r="M155" s="4"/>
    </row>
    <row r="156" spans="1:13" s="5" customFormat="1" ht="24" customHeight="1" thickBot="1">
      <c r="A156" s="6">
        <v>46003</v>
      </c>
      <c r="B156" s="5" t="s">
        <v>44</v>
      </c>
      <c r="C156" s="5" t="s">
        <v>14</v>
      </c>
      <c r="D156" s="5" t="s">
        <v>34</v>
      </c>
      <c r="E156" s="7">
        <v>672861</v>
      </c>
      <c r="F156" s="3">
        <v>59.999999999999993</v>
      </c>
      <c r="G156" s="53">
        <v>1857.6</v>
      </c>
      <c r="H156" s="13">
        <v>22999.96</v>
      </c>
      <c r="I156" s="3">
        <v>30.96</v>
      </c>
      <c r="J156" s="2"/>
      <c r="K156" s="2"/>
      <c r="L156" s="2"/>
      <c r="M156" s="4"/>
    </row>
    <row r="157" spans="1:13" s="5" customFormat="1" ht="24" customHeight="1" thickBot="1">
      <c r="A157" s="6">
        <v>46003</v>
      </c>
      <c r="B157" s="5" t="s">
        <v>45</v>
      </c>
      <c r="C157" s="5" t="s">
        <v>7</v>
      </c>
      <c r="D157" s="5" t="s">
        <v>34</v>
      </c>
      <c r="E157" s="7">
        <v>169941</v>
      </c>
      <c r="F157" s="3">
        <v>50</v>
      </c>
      <c r="G157" s="53">
        <v>1548</v>
      </c>
      <c r="H157" s="13">
        <v>21451.96</v>
      </c>
      <c r="I157" s="3">
        <v>30.96</v>
      </c>
      <c r="J157" s="2"/>
      <c r="K157" s="2"/>
      <c r="L157" s="2"/>
      <c r="M157" s="4"/>
    </row>
    <row r="158" spans="1:13" s="5" customFormat="1" ht="24" customHeight="1" thickBot="1">
      <c r="A158" s="6">
        <v>46003</v>
      </c>
      <c r="B158" s="5" t="s">
        <v>52</v>
      </c>
      <c r="C158" s="5" t="s">
        <v>4</v>
      </c>
      <c r="D158" s="5" t="s">
        <v>35</v>
      </c>
      <c r="E158" s="7">
        <v>166946</v>
      </c>
      <c r="F158" s="3">
        <v>46.834625322997418</v>
      </c>
      <c r="G158" s="53">
        <v>1450</v>
      </c>
      <c r="H158" s="13">
        <v>20001.96</v>
      </c>
      <c r="I158" s="3">
        <v>30.96</v>
      </c>
      <c r="J158" s="2"/>
      <c r="K158" s="2"/>
      <c r="L158" s="2"/>
      <c r="M158" s="4"/>
    </row>
    <row r="159" spans="1:13" s="5" customFormat="1" ht="24" customHeight="1" thickBot="1">
      <c r="A159" s="6">
        <v>46004</v>
      </c>
      <c r="B159" s="5" t="s">
        <v>59</v>
      </c>
      <c r="C159" s="5" t="s">
        <v>11</v>
      </c>
      <c r="D159" s="5" t="s">
        <v>35</v>
      </c>
      <c r="E159" s="7">
        <v>230222</v>
      </c>
      <c r="F159" s="3">
        <v>119.99999999999999</v>
      </c>
      <c r="G159" s="53">
        <v>3715.2</v>
      </c>
      <c r="H159" s="13">
        <v>16286.759999999998</v>
      </c>
      <c r="I159" s="3">
        <v>30.96</v>
      </c>
      <c r="J159" s="2"/>
      <c r="K159" s="2"/>
      <c r="L159" s="2"/>
      <c r="M159" s="4"/>
    </row>
    <row r="160" spans="1:13" s="5" customFormat="1" ht="24" customHeight="1" thickBot="1">
      <c r="A160" s="6">
        <v>46004</v>
      </c>
      <c r="B160" s="5" t="s">
        <v>50</v>
      </c>
      <c r="C160" s="5" t="s">
        <v>5</v>
      </c>
      <c r="D160" s="5" t="s">
        <v>36</v>
      </c>
      <c r="E160" s="7">
        <v>191086</v>
      </c>
      <c r="F160" s="3">
        <v>50</v>
      </c>
      <c r="G160" s="53">
        <v>1548</v>
      </c>
      <c r="H160" s="13">
        <v>14738.759999999998</v>
      </c>
      <c r="I160" s="3">
        <v>30.96</v>
      </c>
      <c r="J160" s="2"/>
      <c r="K160" s="2"/>
      <c r="L160" s="2"/>
      <c r="M160" s="4"/>
    </row>
    <row r="161" spans="1:13" s="5" customFormat="1" ht="24" customHeight="1" thickBot="1">
      <c r="A161" s="6">
        <v>46004</v>
      </c>
      <c r="B161" s="61" t="s">
        <v>43</v>
      </c>
      <c r="C161" s="61" t="s">
        <v>1</v>
      </c>
      <c r="D161" s="5" t="s">
        <v>36</v>
      </c>
      <c r="E161" s="7">
        <v>164311</v>
      </c>
      <c r="F161" s="3">
        <v>50</v>
      </c>
      <c r="G161" s="53">
        <v>1548</v>
      </c>
      <c r="H161" s="13">
        <v>13190.759999999998</v>
      </c>
      <c r="I161" s="3">
        <v>30.96</v>
      </c>
      <c r="J161" s="2"/>
      <c r="K161" s="2"/>
      <c r="L161" s="2"/>
      <c r="M161" s="4"/>
    </row>
    <row r="162" spans="1:13" s="5" customFormat="1" ht="24" customHeight="1" thickBot="1">
      <c r="A162" s="6">
        <v>46004</v>
      </c>
      <c r="B162" s="61" t="s">
        <v>56</v>
      </c>
      <c r="C162" s="61" t="s">
        <v>94</v>
      </c>
      <c r="D162" s="5" t="s">
        <v>36</v>
      </c>
      <c r="E162" s="7">
        <v>291522</v>
      </c>
      <c r="F162" s="3">
        <v>169.89664082687338</v>
      </c>
      <c r="G162" s="53">
        <v>5260</v>
      </c>
      <c r="H162" s="13">
        <v>7930.7599999999984</v>
      </c>
      <c r="I162" s="3">
        <v>30.96</v>
      </c>
      <c r="J162" s="2"/>
      <c r="K162" s="2"/>
      <c r="L162" s="2"/>
      <c r="M162" s="4"/>
    </row>
    <row r="163" spans="1:13" s="5" customFormat="1" ht="24" customHeight="1" thickBot="1">
      <c r="A163" s="6">
        <v>46004</v>
      </c>
      <c r="B163" s="5" t="s">
        <v>53</v>
      </c>
      <c r="C163" s="5" t="s">
        <v>10</v>
      </c>
      <c r="D163" s="5" t="s">
        <v>34</v>
      </c>
      <c r="E163" s="7">
        <v>289064</v>
      </c>
      <c r="F163" s="3">
        <v>50</v>
      </c>
      <c r="G163" s="53">
        <v>1548</v>
      </c>
      <c r="H163" s="13">
        <v>6382.7599999999984</v>
      </c>
      <c r="I163" s="3">
        <v>30.96</v>
      </c>
      <c r="J163" s="2"/>
      <c r="K163" s="2"/>
      <c r="L163" s="2"/>
      <c r="M163" s="4"/>
    </row>
    <row r="164" spans="1:13" s="5" customFormat="1" ht="24" customHeight="1" thickBot="1">
      <c r="A164" s="6">
        <v>46004</v>
      </c>
      <c r="B164" s="5" t="s">
        <v>42</v>
      </c>
      <c r="C164" s="5" t="s">
        <v>32</v>
      </c>
      <c r="D164" s="5" t="s">
        <v>36</v>
      </c>
      <c r="E164" s="7">
        <v>268966</v>
      </c>
      <c r="F164" s="3">
        <v>50</v>
      </c>
      <c r="G164" s="53">
        <v>1548</v>
      </c>
      <c r="H164" s="13">
        <v>4834.7599999999984</v>
      </c>
      <c r="I164" s="3">
        <v>30.96</v>
      </c>
      <c r="J164" s="2"/>
      <c r="K164" s="2"/>
      <c r="L164" s="2"/>
      <c r="M164" s="4"/>
    </row>
    <row r="165" spans="1:13" s="5" customFormat="1" ht="24" customHeight="1" thickBot="1">
      <c r="A165" s="6">
        <v>46004</v>
      </c>
      <c r="B165" s="5" t="s">
        <v>57</v>
      </c>
      <c r="C165" s="5" t="s">
        <v>12</v>
      </c>
      <c r="D165" s="5" t="s">
        <v>36</v>
      </c>
      <c r="E165" s="7">
        <v>165891</v>
      </c>
      <c r="F165" s="3">
        <v>50</v>
      </c>
      <c r="G165" s="53">
        <v>1548</v>
      </c>
      <c r="H165" s="13">
        <v>3286.7599999999984</v>
      </c>
      <c r="I165" s="3">
        <v>30.96</v>
      </c>
      <c r="J165" s="2"/>
      <c r="K165" s="2"/>
      <c r="L165" s="2"/>
      <c r="M165" s="4"/>
    </row>
    <row r="166" spans="1:13" s="5" customFormat="1" ht="24" customHeight="1" thickBot="1">
      <c r="A166" s="6">
        <v>46004</v>
      </c>
      <c r="B166" s="5" t="s">
        <v>48</v>
      </c>
      <c r="C166" s="5" t="s">
        <v>17</v>
      </c>
      <c r="D166" s="5" t="s">
        <v>35</v>
      </c>
      <c r="E166" s="7">
        <v>153986</v>
      </c>
      <c r="F166" s="3">
        <v>119.99999999999999</v>
      </c>
      <c r="G166" s="53">
        <v>3715.2</v>
      </c>
      <c r="H166" s="13">
        <v>-428.44000000000142</v>
      </c>
      <c r="I166" s="3">
        <v>30.96</v>
      </c>
      <c r="J166" s="2"/>
      <c r="K166" s="2"/>
      <c r="L166" s="2"/>
      <c r="M166" s="4"/>
    </row>
    <row r="167" spans="1:13" s="5" customFormat="1" ht="24" customHeight="1" thickBot="1">
      <c r="A167" s="6">
        <v>46004</v>
      </c>
      <c r="B167" s="5" t="s">
        <v>39</v>
      </c>
      <c r="C167" s="5" t="s">
        <v>40</v>
      </c>
      <c r="D167" s="5" t="s">
        <v>34</v>
      </c>
      <c r="E167" s="7" t="s">
        <v>20</v>
      </c>
      <c r="F167" s="3">
        <v>16.14987080103359</v>
      </c>
      <c r="G167" s="53">
        <v>500</v>
      </c>
      <c r="H167" s="13">
        <v>-928.44000000000142</v>
      </c>
      <c r="I167" s="3">
        <v>30.96</v>
      </c>
      <c r="J167" s="2"/>
      <c r="K167" s="2"/>
      <c r="L167" s="2"/>
      <c r="M167" s="4"/>
    </row>
    <row r="168" spans="1:13" s="5" customFormat="1" ht="24" customHeight="1" thickBot="1">
      <c r="A168" s="6">
        <v>46004</v>
      </c>
      <c r="B168" s="5" t="s">
        <v>54</v>
      </c>
      <c r="C168" s="5" t="s">
        <v>16</v>
      </c>
      <c r="D168" s="5" t="s">
        <v>35</v>
      </c>
      <c r="E168" s="7">
        <v>228584</v>
      </c>
      <c r="F168" s="3">
        <v>119.99999999999999</v>
      </c>
      <c r="G168" s="53">
        <v>3715.2</v>
      </c>
      <c r="H168" s="13">
        <v>-4643.6400000000012</v>
      </c>
      <c r="I168" s="3">
        <v>30.96</v>
      </c>
      <c r="J168" s="2"/>
      <c r="K168" s="2"/>
      <c r="L168" s="2"/>
      <c r="M168" s="4"/>
    </row>
    <row r="169" spans="1:13" s="5" customFormat="1" ht="24" customHeight="1" thickBot="1">
      <c r="A169" s="6">
        <v>46004</v>
      </c>
      <c r="B169" s="5" t="s">
        <v>41</v>
      </c>
      <c r="C169" s="5" t="s">
        <v>9</v>
      </c>
      <c r="D169" s="5" t="s">
        <v>36</v>
      </c>
      <c r="E169" s="7">
        <v>917231</v>
      </c>
      <c r="F169" s="3">
        <v>59.999999999999993</v>
      </c>
      <c r="G169" s="53">
        <v>1857.6</v>
      </c>
      <c r="H169" s="13">
        <v>-6501.2400000000016</v>
      </c>
      <c r="I169" s="3">
        <v>30.96</v>
      </c>
      <c r="J169" s="2"/>
      <c r="K169" s="2"/>
      <c r="L169" s="2"/>
      <c r="M169" s="4"/>
    </row>
    <row r="170" spans="1:13" s="5" customFormat="1" ht="24" customHeight="1" thickBot="1">
      <c r="A170" s="6">
        <v>46004</v>
      </c>
      <c r="B170" s="5" t="s">
        <v>60</v>
      </c>
      <c r="C170" s="5" t="s">
        <v>2</v>
      </c>
      <c r="D170" s="5" t="s">
        <v>36</v>
      </c>
      <c r="E170" s="7">
        <v>143602</v>
      </c>
      <c r="F170" s="3">
        <v>50</v>
      </c>
      <c r="G170" s="53">
        <v>1548</v>
      </c>
      <c r="H170" s="13">
        <v>-8049.2400000000016</v>
      </c>
      <c r="I170" s="3">
        <v>30.96</v>
      </c>
      <c r="J170" s="2"/>
      <c r="K170" s="2"/>
      <c r="L170" s="2"/>
      <c r="M170" s="4"/>
    </row>
    <row r="171" spans="1:13" s="55" customFormat="1" ht="24" customHeight="1" thickBot="1">
      <c r="A171" s="54">
        <v>46005</v>
      </c>
      <c r="B171" s="55" t="s">
        <v>45</v>
      </c>
      <c r="C171" s="55" t="s">
        <v>7</v>
      </c>
      <c r="D171" s="55" t="s">
        <v>34</v>
      </c>
      <c r="E171" s="56" t="s">
        <v>20</v>
      </c>
      <c r="F171" s="3">
        <v>20</v>
      </c>
      <c r="G171" s="58">
        <v>619.20000000000005</v>
      </c>
      <c r="H171" s="13">
        <v>-8668.4400000000023</v>
      </c>
      <c r="I171" s="57">
        <v>30.96</v>
      </c>
      <c r="J171" s="59"/>
      <c r="K171" s="59" t="s">
        <v>93</v>
      </c>
      <c r="L171" s="59"/>
      <c r="M171" s="60"/>
    </row>
    <row r="172" spans="1:13" s="5" customFormat="1" ht="24" customHeight="1" thickBot="1">
      <c r="A172" s="6">
        <v>46006</v>
      </c>
      <c r="B172" s="5" t="s">
        <v>52</v>
      </c>
      <c r="C172" s="5" t="s">
        <v>4</v>
      </c>
      <c r="D172" s="5" t="s">
        <v>35</v>
      </c>
      <c r="E172" s="7">
        <v>167121</v>
      </c>
      <c r="F172" s="3">
        <v>50</v>
      </c>
      <c r="G172" s="53">
        <v>1548</v>
      </c>
      <c r="H172" s="13">
        <v>-10216.440000000002</v>
      </c>
      <c r="I172" s="3">
        <v>30.96</v>
      </c>
      <c r="J172" s="2"/>
      <c r="K172" s="2"/>
      <c r="L172" s="2"/>
      <c r="M172" s="4"/>
    </row>
    <row r="173" spans="1:13" s="5" customFormat="1" ht="24" customHeight="1" thickBot="1">
      <c r="A173" s="6">
        <v>46006</v>
      </c>
      <c r="B173" s="61" t="s">
        <v>43</v>
      </c>
      <c r="C173" s="61" t="s">
        <v>1</v>
      </c>
      <c r="D173" s="5" t="s">
        <v>34</v>
      </c>
      <c r="E173" s="7">
        <v>164492</v>
      </c>
      <c r="F173" s="3">
        <v>90</v>
      </c>
      <c r="G173" s="53">
        <v>2786.4</v>
      </c>
      <c r="H173" s="13">
        <v>-13002.840000000002</v>
      </c>
      <c r="I173" s="3">
        <v>30.96</v>
      </c>
      <c r="J173" s="2"/>
      <c r="K173" s="2"/>
      <c r="L173" s="2"/>
      <c r="M173" s="4"/>
    </row>
    <row r="174" spans="1:13" s="5" customFormat="1" ht="24" customHeight="1" thickBot="1">
      <c r="A174" s="6">
        <v>46006</v>
      </c>
      <c r="B174" s="5" t="s">
        <v>50</v>
      </c>
      <c r="C174" s="5" t="s">
        <v>5</v>
      </c>
      <c r="D174" s="5" t="s">
        <v>34</v>
      </c>
      <c r="E174" s="7">
        <v>191249</v>
      </c>
      <c r="F174" s="3">
        <v>90</v>
      </c>
      <c r="G174" s="53">
        <v>2786.4</v>
      </c>
      <c r="H174" s="13">
        <v>-15789.240000000002</v>
      </c>
      <c r="I174" s="3">
        <v>30.96</v>
      </c>
      <c r="J174" s="2"/>
      <c r="K174" s="2"/>
      <c r="L174" s="2"/>
      <c r="M174" s="4"/>
    </row>
    <row r="175" spans="1:13" s="5" customFormat="1" ht="24" customHeight="1" thickBot="1">
      <c r="A175" s="6">
        <v>46006</v>
      </c>
      <c r="B175" s="5" t="s">
        <v>53</v>
      </c>
      <c r="C175" s="5" t="s">
        <v>10</v>
      </c>
      <c r="D175" s="5" t="s">
        <v>34</v>
      </c>
      <c r="E175" s="7">
        <v>289200</v>
      </c>
      <c r="F175" s="3">
        <v>50</v>
      </c>
      <c r="G175" s="53">
        <v>1548</v>
      </c>
      <c r="H175" s="13">
        <v>-17337.240000000002</v>
      </c>
      <c r="I175" s="3">
        <v>30.96</v>
      </c>
      <c r="J175" s="2"/>
      <c r="K175" s="2"/>
      <c r="L175" s="2"/>
      <c r="M175" s="4"/>
    </row>
    <row r="176" spans="1:13" s="5" customFormat="1" ht="24" customHeight="1" thickBot="1">
      <c r="A176" s="6">
        <v>46006</v>
      </c>
      <c r="B176" s="5" t="s">
        <v>49</v>
      </c>
      <c r="C176" s="5" t="s">
        <v>6</v>
      </c>
      <c r="D176" s="5" t="s">
        <v>36</v>
      </c>
      <c r="E176" s="7">
        <v>164222</v>
      </c>
      <c r="F176" s="3">
        <v>50</v>
      </c>
      <c r="G176" s="53">
        <v>1548</v>
      </c>
      <c r="H176" s="13">
        <v>-18885.240000000002</v>
      </c>
      <c r="I176" s="3">
        <v>30.96</v>
      </c>
      <c r="J176" s="2"/>
      <c r="K176" s="2"/>
      <c r="L176" s="2"/>
      <c r="M176" s="4"/>
    </row>
    <row r="177" spans="1:13" s="5" customFormat="1" ht="24" customHeight="1" thickBot="1">
      <c r="A177" s="6">
        <v>46006</v>
      </c>
      <c r="B177" s="5" t="s">
        <v>39</v>
      </c>
      <c r="C177" s="5" t="s">
        <v>40</v>
      </c>
      <c r="D177" s="5" t="s">
        <v>34</v>
      </c>
      <c r="E177" s="7" t="s">
        <v>20</v>
      </c>
      <c r="F177" s="3">
        <v>16.14987080103359</v>
      </c>
      <c r="G177" s="53">
        <v>500</v>
      </c>
      <c r="H177" s="13">
        <v>-19385.240000000002</v>
      </c>
      <c r="I177" s="3">
        <v>30.96</v>
      </c>
      <c r="J177" s="2"/>
      <c r="K177" s="2"/>
      <c r="L177" s="2"/>
      <c r="M177" s="4"/>
    </row>
    <row r="178" spans="1:13" s="5" customFormat="1" ht="24" customHeight="1" thickBot="1">
      <c r="A178" s="6">
        <v>46006</v>
      </c>
      <c r="B178" s="5" t="s">
        <v>42</v>
      </c>
      <c r="C178" s="5" t="s">
        <v>32</v>
      </c>
      <c r="D178" s="5" t="s">
        <v>34</v>
      </c>
      <c r="E178" s="7">
        <v>269123</v>
      </c>
      <c r="F178" s="3">
        <v>50</v>
      </c>
      <c r="G178" s="53">
        <v>1548</v>
      </c>
      <c r="H178" s="13">
        <v>-20933.240000000002</v>
      </c>
      <c r="I178" s="3">
        <v>30.96</v>
      </c>
      <c r="J178" s="2"/>
      <c r="K178" s="2"/>
      <c r="L178" s="2"/>
      <c r="M178" s="4"/>
    </row>
    <row r="179" spans="1:13" s="5" customFormat="1" ht="24" customHeight="1" thickBot="1">
      <c r="A179" s="6">
        <v>46006</v>
      </c>
      <c r="B179" s="5" t="s">
        <v>41</v>
      </c>
      <c r="C179" s="5" t="s">
        <v>9</v>
      </c>
      <c r="D179" s="5" t="s">
        <v>34</v>
      </c>
      <c r="E179" s="7">
        <v>917384</v>
      </c>
      <c r="F179" s="3">
        <v>59.999999999999993</v>
      </c>
      <c r="G179" s="53">
        <v>1857.6</v>
      </c>
      <c r="H179" s="13">
        <v>-22790.84</v>
      </c>
      <c r="I179" s="3">
        <v>30.96</v>
      </c>
      <c r="J179" s="2"/>
      <c r="K179" s="2"/>
      <c r="L179" s="2"/>
      <c r="M179" s="4"/>
    </row>
    <row r="180" spans="1:13" s="5" customFormat="1" ht="24" customHeight="1" thickBot="1">
      <c r="A180" s="6">
        <v>46006</v>
      </c>
      <c r="B180" s="5" t="s">
        <v>55</v>
      </c>
      <c r="C180" s="5" t="s">
        <v>15</v>
      </c>
      <c r="D180" s="5" t="s">
        <v>35</v>
      </c>
      <c r="E180" s="7">
        <v>275978</v>
      </c>
      <c r="F180" s="3">
        <v>50</v>
      </c>
      <c r="G180" s="53">
        <v>1548</v>
      </c>
      <c r="H180" s="13">
        <v>-24338.84</v>
      </c>
      <c r="I180" s="3">
        <v>30.96</v>
      </c>
      <c r="J180" s="2"/>
      <c r="K180" s="2"/>
      <c r="L180" s="2"/>
      <c r="M180" s="4"/>
    </row>
    <row r="181" spans="1:13" s="5" customFormat="1" ht="24" customHeight="1" thickBot="1">
      <c r="A181" s="6">
        <v>46006</v>
      </c>
      <c r="B181" s="5" t="s">
        <v>45</v>
      </c>
      <c r="C181" s="5" t="s">
        <v>7</v>
      </c>
      <c r="D181" s="5" t="s">
        <v>36</v>
      </c>
      <c r="E181" s="7">
        <v>170120</v>
      </c>
      <c r="F181" s="3">
        <v>50</v>
      </c>
      <c r="G181" s="53">
        <v>1548</v>
      </c>
      <c r="H181" s="13">
        <v>-25886.84</v>
      </c>
      <c r="I181" s="3">
        <v>30.96</v>
      </c>
      <c r="J181" s="2"/>
      <c r="K181" s="2"/>
      <c r="L181" s="2"/>
      <c r="M181" s="4"/>
    </row>
    <row r="182" spans="1:13" s="5" customFormat="1" ht="24" customHeight="1" thickBot="1">
      <c r="A182" s="6">
        <v>46006</v>
      </c>
      <c r="B182" s="5" t="s">
        <v>59</v>
      </c>
      <c r="C182" s="5" t="s">
        <v>11</v>
      </c>
      <c r="D182" s="5" t="s">
        <v>35</v>
      </c>
      <c r="E182" s="7">
        <v>230640</v>
      </c>
      <c r="F182" s="3">
        <v>50</v>
      </c>
      <c r="G182" s="53">
        <v>1548</v>
      </c>
      <c r="H182" s="13">
        <v>-27434.84</v>
      </c>
      <c r="I182" s="3">
        <v>30.96</v>
      </c>
      <c r="J182" s="2"/>
      <c r="K182" s="2"/>
      <c r="L182" s="2"/>
      <c r="M182" s="4"/>
    </row>
    <row r="183" spans="1:13" s="5" customFormat="1" ht="24" customHeight="1" thickBot="1">
      <c r="A183" s="6">
        <v>46006</v>
      </c>
      <c r="B183" s="5" t="s">
        <v>44</v>
      </c>
      <c r="C183" s="5" t="s">
        <v>14</v>
      </c>
      <c r="D183" s="5" t="s">
        <v>35</v>
      </c>
      <c r="E183" s="7">
        <v>672970</v>
      </c>
      <c r="F183" s="3">
        <v>59.999999999999993</v>
      </c>
      <c r="G183" s="53">
        <v>1857.6</v>
      </c>
      <c r="H183" s="13">
        <v>-29292.44</v>
      </c>
      <c r="I183" s="3">
        <v>30.96</v>
      </c>
      <c r="J183" s="2"/>
      <c r="K183" s="2"/>
      <c r="L183" s="2"/>
      <c r="M183" s="4"/>
    </row>
    <row r="184" spans="1:13" s="5" customFormat="1" ht="24" customHeight="1" thickBot="1">
      <c r="A184" s="6">
        <v>46006</v>
      </c>
      <c r="B184" s="5" t="s">
        <v>60</v>
      </c>
      <c r="C184" s="5" t="s">
        <v>2</v>
      </c>
      <c r="D184" s="5" t="s">
        <v>36</v>
      </c>
      <c r="E184" s="7">
        <v>143696</v>
      </c>
      <c r="F184" s="3">
        <v>50</v>
      </c>
      <c r="G184" s="53">
        <v>1548</v>
      </c>
      <c r="H184" s="13">
        <v>-30840.44</v>
      </c>
      <c r="I184" s="3">
        <v>30.96</v>
      </c>
      <c r="J184" s="2"/>
      <c r="K184" s="2"/>
      <c r="L184" s="2"/>
      <c r="M184" s="4"/>
    </row>
    <row r="185" spans="1:13" s="5" customFormat="1" ht="24" customHeight="1" thickBot="1">
      <c r="A185" s="6">
        <v>46006</v>
      </c>
      <c r="B185" s="61" t="s">
        <v>63</v>
      </c>
      <c r="C185" s="61" t="s">
        <v>13</v>
      </c>
      <c r="D185" s="5" t="s">
        <v>36</v>
      </c>
      <c r="E185" s="7">
        <v>248498</v>
      </c>
      <c r="F185" s="3">
        <v>148.74031007751938</v>
      </c>
      <c r="G185" s="53">
        <v>4605</v>
      </c>
      <c r="H185" s="13">
        <v>-35445.440000000002</v>
      </c>
      <c r="I185" s="3">
        <v>30.96</v>
      </c>
      <c r="J185" s="2"/>
      <c r="K185" s="2"/>
      <c r="L185" s="2"/>
      <c r="M185" s="4"/>
    </row>
    <row r="186" spans="1:13" s="5" customFormat="1" ht="24" customHeight="1" thickBot="1">
      <c r="A186" s="6">
        <v>46006</v>
      </c>
      <c r="B186" s="5" t="s">
        <v>92</v>
      </c>
      <c r="C186" s="5" t="s">
        <v>8</v>
      </c>
      <c r="D186" s="5" t="s">
        <v>35</v>
      </c>
      <c r="E186" s="7">
        <v>27506</v>
      </c>
      <c r="F186" s="3">
        <v>59.999999999999993</v>
      </c>
      <c r="G186" s="53">
        <v>1857.6</v>
      </c>
      <c r="H186" s="13">
        <v>-37303.040000000001</v>
      </c>
      <c r="I186" s="3">
        <v>30.96</v>
      </c>
      <c r="J186" s="2"/>
      <c r="K186" s="2"/>
      <c r="L186" s="2"/>
      <c r="M186" s="4"/>
    </row>
    <row r="187" spans="1:13" s="5" customFormat="1" ht="24" customHeight="1" thickBot="1">
      <c r="A187" s="6">
        <v>46006</v>
      </c>
      <c r="B187" s="5" t="s">
        <v>50</v>
      </c>
      <c r="C187" s="5" t="s">
        <v>5</v>
      </c>
      <c r="D187" s="5" t="s">
        <v>36</v>
      </c>
      <c r="E187" s="7">
        <v>191569</v>
      </c>
      <c r="F187" s="3">
        <v>90</v>
      </c>
      <c r="G187" s="53">
        <v>2786.4</v>
      </c>
      <c r="H187" s="13">
        <v>-40089.440000000002</v>
      </c>
      <c r="I187" s="3">
        <v>30.96</v>
      </c>
      <c r="J187" s="2"/>
      <c r="K187" s="2"/>
      <c r="L187" s="2"/>
      <c r="M187" s="4"/>
    </row>
    <row r="188" spans="1:13" s="5" customFormat="1" ht="24" customHeight="1" thickBot="1">
      <c r="A188" s="6">
        <v>46006</v>
      </c>
      <c r="B188" s="5" t="s">
        <v>48</v>
      </c>
      <c r="C188" s="5" t="s">
        <v>17</v>
      </c>
      <c r="D188" s="5" t="s">
        <v>36</v>
      </c>
      <c r="E188" s="7">
        <v>154401</v>
      </c>
      <c r="F188" s="3">
        <v>69.999999999999986</v>
      </c>
      <c r="G188" s="53">
        <v>2167.1999999999998</v>
      </c>
      <c r="H188" s="13">
        <v>-42256.639999999999</v>
      </c>
      <c r="I188" s="3">
        <v>30.96</v>
      </c>
      <c r="J188" s="2"/>
      <c r="K188" s="2"/>
      <c r="L188" s="2"/>
      <c r="M188" s="4"/>
    </row>
    <row r="189" spans="1:13" s="5" customFormat="1" ht="24" customHeight="1" thickBot="1">
      <c r="A189" s="6">
        <v>46006</v>
      </c>
      <c r="B189" s="5" t="s">
        <v>54</v>
      </c>
      <c r="C189" s="5" t="s">
        <v>16</v>
      </c>
      <c r="D189" s="5" t="s">
        <v>36</v>
      </c>
      <c r="E189" s="7">
        <v>229112</v>
      </c>
      <c r="F189" s="3">
        <v>100</v>
      </c>
      <c r="G189" s="53">
        <v>3096</v>
      </c>
      <c r="H189" s="13">
        <v>-45352.639999999999</v>
      </c>
      <c r="I189" s="3">
        <v>30.96</v>
      </c>
      <c r="J189" s="2"/>
      <c r="K189" s="2"/>
      <c r="L189" s="2"/>
      <c r="M189" s="4"/>
    </row>
    <row r="190" spans="1:13" s="5" customFormat="1" ht="24" customHeight="1" thickBot="1">
      <c r="A190" s="6">
        <v>46007</v>
      </c>
      <c r="B190" s="5" t="s">
        <v>41</v>
      </c>
      <c r="C190" s="5" t="s">
        <v>9</v>
      </c>
      <c r="D190" s="5" t="s">
        <v>36</v>
      </c>
      <c r="E190" s="7">
        <v>917564</v>
      </c>
      <c r="F190" s="3">
        <v>59.999999999999993</v>
      </c>
      <c r="G190" s="53">
        <v>1857.6</v>
      </c>
      <c r="H190" s="13">
        <v>-47210.239999999998</v>
      </c>
      <c r="I190" s="3">
        <v>30.96</v>
      </c>
      <c r="J190" s="2"/>
      <c r="K190" s="2"/>
      <c r="L190" s="2"/>
      <c r="M190" s="4"/>
    </row>
    <row r="191" spans="1:13" s="5" customFormat="1" ht="24" customHeight="1" thickBot="1">
      <c r="A191" s="6">
        <v>46007</v>
      </c>
      <c r="B191" s="5" t="s">
        <v>51</v>
      </c>
      <c r="C191" s="5" t="s">
        <v>3</v>
      </c>
      <c r="D191" s="5" t="s">
        <v>34</v>
      </c>
      <c r="E191" s="7">
        <v>299902</v>
      </c>
      <c r="F191" s="3">
        <v>50</v>
      </c>
      <c r="G191" s="53">
        <v>1548</v>
      </c>
      <c r="H191" s="13">
        <v>-48758.239999999998</v>
      </c>
      <c r="I191" s="3">
        <v>30.96</v>
      </c>
      <c r="J191" s="2"/>
      <c r="K191" s="2"/>
      <c r="L191" s="2"/>
      <c r="M191" s="4"/>
    </row>
    <row r="192" spans="1:13" s="5" customFormat="1" ht="24" customHeight="1" thickBot="1">
      <c r="A192" s="6">
        <v>46007</v>
      </c>
      <c r="B192" s="5" t="s">
        <v>52</v>
      </c>
      <c r="C192" s="5" t="s">
        <v>4</v>
      </c>
      <c r="D192" s="5" t="s">
        <v>35</v>
      </c>
      <c r="E192" s="7">
        <v>167248</v>
      </c>
      <c r="F192" s="3">
        <v>41.763565891472865</v>
      </c>
      <c r="G192" s="53">
        <v>1293</v>
      </c>
      <c r="H192" s="13">
        <v>-50051.24</v>
      </c>
      <c r="I192" s="3">
        <v>30.96</v>
      </c>
      <c r="J192" s="2"/>
      <c r="K192" s="2"/>
      <c r="L192" s="2"/>
      <c r="M192" s="4"/>
    </row>
    <row r="193" spans="1:13" s="5" customFormat="1" ht="24" customHeight="1" thickBot="1">
      <c r="A193" s="6">
        <v>46007</v>
      </c>
      <c r="B193" s="5" t="s">
        <v>57</v>
      </c>
      <c r="C193" s="5" t="s">
        <v>12</v>
      </c>
      <c r="D193" s="5" t="s">
        <v>35</v>
      </c>
      <c r="E193" s="7">
        <v>166166</v>
      </c>
      <c r="F193" s="3">
        <v>50</v>
      </c>
      <c r="G193" s="53">
        <v>1548</v>
      </c>
      <c r="H193" s="13">
        <v>-51599.24</v>
      </c>
      <c r="I193" s="3">
        <v>30.96</v>
      </c>
      <c r="J193" s="2"/>
      <c r="K193" s="2"/>
      <c r="L193" s="2"/>
      <c r="M193" s="4"/>
    </row>
    <row r="194" spans="1:13" s="5" customFormat="1" ht="24" customHeight="1" thickBot="1">
      <c r="A194" s="6">
        <v>46007</v>
      </c>
      <c r="B194" s="61" t="s">
        <v>43</v>
      </c>
      <c r="C194" s="61" t="s">
        <v>1</v>
      </c>
      <c r="D194" s="5" t="s">
        <v>34</v>
      </c>
      <c r="E194" s="7">
        <v>164807</v>
      </c>
      <c r="F194" s="3">
        <v>90</v>
      </c>
      <c r="G194" s="53">
        <v>2786.4</v>
      </c>
      <c r="H194" s="13">
        <v>-54385.64</v>
      </c>
      <c r="I194" s="3">
        <v>30.96</v>
      </c>
      <c r="J194" s="2"/>
      <c r="K194" s="2"/>
      <c r="L194" s="2"/>
      <c r="M194" s="4"/>
    </row>
    <row r="195" spans="1:13" s="5" customFormat="1" ht="24" customHeight="1" thickBot="1">
      <c r="A195" s="6">
        <v>46007</v>
      </c>
      <c r="B195" s="5" t="s">
        <v>42</v>
      </c>
      <c r="C195" s="5" t="s">
        <v>32</v>
      </c>
      <c r="D195" s="5" t="s">
        <v>36</v>
      </c>
      <c r="E195" s="7">
        <v>269232</v>
      </c>
      <c r="F195" s="3">
        <v>50</v>
      </c>
      <c r="G195" s="53">
        <v>1548</v>
      </c>
      <c r="H195" s="13">
        <v>-55933.64</v>
      </c>
      <c r="I195" s="3">
        <v>30.96</v>
      </c>
      <c r="J195" s="2"/>
      <c r="K195" s="2"/>
      <c r="L195" s="2"/>
      <c r="M195" s="4"/>
    </row>
    <row r="196" spans="1:13" s="5" customFormat="1" ht="24" customHeight="1" thickBot="1">
      <c r="A196" s="6">
        <v>46007</v>
      </c>
      <c r="B196" s="14" t="s">
        <v>20</v>
      </c>
      <c r="C196" s="14" t="s">
        <v>20</v>
      </c>
      <c r="D196" s="14" t="s">
        <v>20</v>
      </c>
      <c r="E196" s="15" t="s">
        <v>65</v>
      </c>
      <c r="F196" s="3"/>
      <c r="G196" s="53">
        <v>-90000</v>
      </c>
      <c r="H196" s="13">
        <v>34066.36</v>
      </c>
      <c r="I196" s="3">
        <v>30.96</v>
      </c>
      <c r="J196" s="2" t="s">
        <v>105</v>
      </c>
      <c r="K196" s="2"/>
      <c r="L196" s="2"/>
      <c r="M196" s="4"/>
    </row>
    <row r="197" spans="1:13" s="5" customFormat="1" ht="24" customHeight="1" thickBot="1">
      <c r="A197" s="6">
        <v>46007</v>
      </c>
      <c r="B197" s="5" t="s">
        <v>92</v>
      </c>
      <c r="C197" s="5" t="s">
        <v>8</v>
      </c>
      <c r="D197" s="5" t="s">
        <v>34</v>
      </c>
      <c r="E197" s="7">
        <v>27644</v>
      </c>
      <c r="F197" s="3">
        <v>59.999999999999993</v>
      </c>
      <c r="G197" s="53">
        <v>1857.6</v>
      </c>
      <c r="H197" s="13">
        <v>32208.760000000002</v>
      </c>
      <c r="I197" s="3">
        <v>30.96</v>
      </c>
      <c r="J197" s="2"/>
      <c r="K197" s="2"/>
      <c r="L197" s="2"/>
      <c r="M197" s="4"/>
    </row>
    <row r="198" spans="1:13" s="5" customFormat="1" ht="24" customHeight="1" thickBot="1">
      <c r="A198" s="6">
        <v>46007</v>
      </c>
      <c r="B198" s="5" t="s">
        <v>49</v>
      </c>
      <c r="C198" s="5" t="s">
        <v>6</v>
      </c>
      <c r="D198" s="5" t="s">
        <v>35</v>
      </c>
      <c r="E198" s="7">
        <v>164330</v>
      </c>
      <c r="F198" s="3">
        <v>50</v>
      </c>
      <c r="G198" s="53">
        <v>1548</v>
      </c>
      <c r="H198" s="13">
        <v>30660.760000000002</v>
      </c>
      <c r="I198" s="3">
        <v>30.96</v>
      </c>
      <c r="J198" s="2"/>
      <c r="K198" s="2"/>
      <c r="L198" s="2"/>
      <c r="M198" s="4"/>
    </row>
    <row r="199" spans="1:13" s="5" customFormat="1" ht="24" customHeight="1" thickBot="1">
      <c r="A199" s="6">
        <v>46007</v>
      </c>
      <c r="B199" s="5" t="s">
        <v>39</v>
      </c>
      <c r="C199" s="5" t="s">
        <v>40</v>
      </c>
      <c r="D199" s="5" t="s">
        <v>34</v>
      </c>
      <c r="E199" s="7" t="s">
        <v>20</v>
      </c>
      <c r="F199" s="3">
        <v>16.14987080103359</v>
      </c>
      <c r="G199" s="53">
        <v>500</v>
      </c>
      <c r="H199" s="13">
        <v>30160.760000000002</v>
      </c>
      <c r="I199" s="3">
        <v>30.96</v>
      </c>
      <c r="J199" s="2"/>
      <c r="K199" s="2"/>
      <c r="L199" s="2"/>
      <c r="M199" s="4"/>
    </row>
    <row r="200" spans="1:13" s="5" customFormat="1" ht="24" customHeight="1" thickBot="1">
      <c r="A200" s="6">
        <v>46007</v>
      </c>
      <c r="B200" s="5" t="s">
        <v>44</v>
      </c>
      <c r="C200" s="5" t="s">
        <v>14</v>
      </c>
      <c r="D200" s="5" t="s">
        <v>35</v>
      </c>
      <c r="E200" s="7">
        <v>673085</v>
      </c>
      <c r="F200" s="3">
        <v>59.999999999999993</v>
      </c>
      <c r="G200" s="53">
        <v>1857.6</v>
      </c>
      <c r="H200" s="13">
        <v>28303.160000000003</v>
      </c>
      <c r="I200" s="3">
        <v>30.96</v>
      </c>
      <c r="J200" s="2"/>
      <c r="K200" s="2"/>
      <c r="L200" s="2"/>
      <c r="M200" s="4"/>
    </row>
    <row r="201" spans="1:13" s="5" customFormat="1" ht="24" customHeight="1" thickBot="1">
      <c r="A201" s="6">
        <v>46007</v>
      </c>
      <c r="B201" s="5" t="s">
        <v>53</v>
      </c>
      <c r="C201" s="5" t="s">
        <v>10</v>
      </c>
      <c r="D201" s="5" t="s">
        <v>35</v>
      </c>
      <c r="E201" s="7">
        <v>289348</v>
      </c>
      <c r="F201" s="3">
        <v>83.998708010335918</v>
      </c>
      <c r="G201" s="53">
        <v>2600.6</v>
      </c>
      <c r="H201" s="13">
        <v>25702.560000000005</v>
      </c>
      <c r="I201" s="3">
        <v>30.96</v>
      </c>
      <c r="J201" s="2"/>
      <c r="K201" s="2"/>
      <c r="L201" s="2"/>
      <c r="M201" s="4"/>
    </row>
    <row r="202" spans="1:13" s="5" customFormat="1" ht="24" customHeight="1" thickBot="1">
      <c r="A202" s="6">
        <v>46007</v>
      </c>
      <c r="B202" s="5" t="s">
        <v>55</v>
      </c>
      <c r="C202" s="5" t="s">
        <v>15</v>
      </c>
      <c r="D202" s="5" t="s">
        <v>36</v>
      </c>
      <c r="E202" s="7">
        <v>276120</v>
      </c>
      <c r="F202" s="3">
        <v>50</v>
      </c>
      <c r="G202" s="53">
        <v>1548</v>
      </c>
      <c r="H202" s="13">
        <v>24154.560000000005</v>
      </c>
      <c r="I202" s="3">
        <v>30.96</v>
      </c>
      <c r="J202" s="2"/>
      <c r="K202" s="2"/>
      <c r="L202" s="2"/>
      <c r="M202" s="4"/>
    </row>
    <row r="203" spans="1:13" s="5" customFormat="1" ht="24" customHeight="1" thickBot="1">
      <c r="A203" s="6">
        <v>46007</v>
      </c>
      <c r="B203" s="5" t="s">
        <v>48</v>
      </c>
      <c r="C203" s="5" t="s">
        <v>17</v>
      </c>
      <c r="D203" s="5" t="s">
        <v>36</v>
      </c>
      <c r="E203" s="7">
        <v>154657</v>
      </c>
      <c r="F203" s="3">
        <v>69.999999999999986</v>
      </c>
      <c r="G203" s="53">
        <v>2167.1999999999998</v>
      </c>
      <c r="H203" s="13">
        <v>21987.360000000004</v>
      </c>
      <c r="I203" s="3">
        <v>30.96</v>
      </c>
      <c r="J203" s="2"/>
      <c r="K203" s="2"/>
      <c r="L203" s="2"/>
      <c r="M203" s="4"/>
    </row>
    <row r="204" spans="1:13" s="5" customFormat="1" ht="24" customHeight="1" thickBot="1">
      <c r="A204" s="6">
        <v>46007</v>
      </c>
      <c r="B204" s="5" t="s">
        <v>61</v>
      </c>
      <c r="C204" s="5" t="s">
        <v>62</v>
      </c>
      <c r="D204" s="5" t="s">
        <v>36</v>
      </c>
      <c r="E204" s="7">
        <v>819990</v>
      </c>
      <c r="F204" s="3">
        <v>266.00129198966408</v>
      </c>
      <c r="G204" s="53">
        <v>8235.4</v>
      </c>
      <c r="H204" s="13">
        <v>13751.960000000005</v>
      </c>
      <c r="I204" s="3">
        <v>30.96</v>
      </c>
      <c r="J204" s="2"/>
      <c r="K204" s="2"/>
      <c r="L204" s="2"/>
      <c r="M204" s="4"/>
    </row>
    <row r="205" spans="1:13" s="5" customFormat="1" ht="24" customHeight="1" thickBot="1">
      <c r="A205" s="6">
        <v>46007</v>
      </c>
      <c r="B205" s="5" t="s">
        <v>45</v>
      </c>
      <c r="C205" s="5" t="s">
        <v>7</v>
      </c>
      <c r="D205" s="5" t="s">
        <v>36</v>
      </c>
      <c r="E205" s="7">
        <v>170298</v>
      </c>
      <c r="F205" s="3">
        <v>170</v>
      </c>
      <c r="G205" s="53">
        <v>5263.2</v>
      </c>
      <c r="H205" s="13">
        <v>8488.7600000000057</v>
      </c>
      <c r="I205" s="3">
        <v>30.96</v>
      </c>
      <c r="J205" s="2"/>
      <c r="K205" s="2"/>
      <c r="L205" s="2"/>
      <c r="M205" s="4"/>
    </row>
    <row r="206" spans="1:13" s="5" customFormat="1" ht="24" customHeight="1" thickBot="1">
      <c r="A206" s="6">
        <v>46007</v>
      </c>
      <c r="B206" s="5" t="s">
        <v>41</v>
      </c>
      <c r="C206" s="5" t="s">
        <v>9</v>
      </c>
      <c r="D206" s="5" t="s">
        <v>34</v>
      </c>
      <c r="E206" s="7">
        <v>917730</v>
      </c>
      <c r="F206" s="3">
        <v>59.999999999999993</v>
      </c>
      <c r="G206" s="53">
        <v>1857.6</v>
      </c>
      <c r="H206" s="13">
        <v>6631.1600000000053</v>
      </c>
      <c r="I206" s="3">
        <v>30.96</v>
      </c>
      <c r="J206" s="2"/>
      <c r="K206" s="2"/>
      <c r="L206" s="2"/>
      <c r="M206" s="4"/>
    </row>
    <row r="207" spans="1:13" s="5" customFormat="1" ht="24" customHeight="1" thickBot="1">
      <c r="A207" s="6">
        <v>46007</v>
      </c>
      <c r="B207" s="5" t="s">
        <v>51</v>
      </c>
      <c r="C207" s="5" t="s">
        <v>3</v>
      </c>
      <c r="D207" s="5" t="s">
        <v>34</v>
      </c>
      <c r="E207" s="7">
        <v>300009</v>
      </c>
      <c r="F207" s="3">
        <v>90</v>
      </c>
      <c r="G207" s="53">
        <v>2786.4</v>
      </c>
      <c r="H207" s="13">
        <v>3844.7600000000052</v>
      </c>
      <c r="I207" s="3">
        <v>30.96</v>
      </c>
      <c r="J207" s="2"/>
      <c r="K207" s="2"/>
      <c r="L207" s="2"/>
      <c r="M207" s="4"/>
    </row>
    <row r="208" spans="1:13" s="5" customFormat="1" ht="24" customHeight="1" thickBot="1">
      <c r="A208" s="6">
        <v>46007</v>
      </c>
      <c r="B208" s="5" t="s">
        <v>48</v>
      </c>
      <c r="C208" s="5" t="s">
        <v>17</v>
      </c>
      <c r="D208" s="5" t="s">
        <v>38</v>
      </c>
      <c r="E208" s="7">
        <v>154784</v>
      </c>
      <c r="F208" s="3">
        <v>50</v>
      </c>
      <c r="G208" s="53">
        <v>1548</v>
      </c>
      <c r="H208" s="13">
        <v>2296.7600000000052</v>
      </c>
      <c r="I208" s="3">
        <v>30.96</v>
      </c>
      <c r="J208" s="2"/>
      <c r="K208" s="2"/>
      <c r="L208" s="2"/>
      <c r="M208" s="4"/>
    </row>
    <row r="209" spans="1:13" s="5" customFormat="1" ht="24" customHeight="1" thickBot="1">
      <c r="A209" s="6">
        <v>46007</v>
      </c>
      <c r="B209" s="5" t="s">
        <v>50</v>
      </c>
      <c r="C209" s="5" t="s">
        <v>5</v>
      </c>
      <c r="D209" s="5" t="s">
        <v>34</v>
      </c>
      <c r="E209" s="7">
        <v>191898</v>
      </c>
      <c r="F209" s="3">
        <v>90</v>
      </c>
      <c r="G209" s="53">
        <v>2786.4</v>
      </c>
      <c r="H209" s="13">
        <v>-489.63999999999487</v>
      </c>
      <c r="I209" s="3">
        <v>30.96</v>
      </c>
      <c r="J209" s="2"/>
      <c r="K209" s="2"/>
      <c r="L209" s="2"/>
      <c r="M209" s="4"/>
    </row>
    <row r="210" spans="1:13" s="5" customFormat="1" ht="24" customHeight="1" thickBot="1">
      <c r="A210" s="6">
        <v>46007</v>
      </c>
      <c r="B210" s="5" t="s">
        <v>52</v>
      </c>
      <c r="C210" s="5" t="s">
        <v>4</v>
      </c>
      <c r="D210" s="5" t="s">
        <v>34</v>
      </c>
      <c r="E210" s="7">
        <v>167410</v>
      </c>
      <c r="F210" s="3">
        <v>50</v>
      </c>
      <c r="G210" s="53">
        <v>1548</v>
      </c>
      <c r="H210" s="13">
        <v>-2037.6399999999949</v>
      </c>
      <c r="I210" s="3">
        <v>30.96</v>
      </c>
      <c r="J210" s="2"/>
      <c r="K210" s="2"/>
      <c r="L210" s="2"/>
      <c r="M210" s="4"/>
    </row>
    <row r="211" spans="1:13" s="5" customFormat="1" ht="24" customHeight="1" thickBot="1">
      <c r="A211" s="6">
        <v>46008</v>
      </c>
      <c r="B211" s="61" t="s">
        <v>43</v>
      </c>
      <c r="C211" s="61" t="s">
        <v>1</v>
      </c>
      <c r="D211" s="5" t="s">
        <v>36</v>
      </c>
      <c r="E211" s="7">
        <v>165139</v>
      </c>
      <c r="F211" s="3">
        <v>90</v>
      </c>
      <c r="G211" s="53">
        <v>2786.4</v>
      </c>
      <c r="H211" s="13">
        <v>-4824.0399999999954</v>
      </c>
      <c r="I211" s="3">
        <v>30.96</v>
      </c>
      <c r="J211" s="2"/>
      <c r="K211" s="2"/>
      <c r="L211" s="2"/>
      <c r="M211" s="4"/>
    </row>
    <row r="212" spans="1:13" s="5" customFormat="1" ht="24" customHeight="1" thickBot="1">
      <c r="A212" s="6">
        <v>46008</v>
      </c>
      <c r="B212" s="5" t="s">
        <v>59</v>
      </c>
      <c r="C212" s="5" t="s">
        <v>11</v>
      </c>
      <c r="D212" s="5" t="s">
        <v>36</v>
      </c>
      <c r="E212" s="7">
        <v>230905</v>
      </c>
      <c r="F212" s="3">
        <v>50</v>
      </c>
      <c r="G212" s="53">
        <v>1548</v>
      </c>
      <c r="H212" s="13">
        <v>-6372.0399999999954</v>
      </c>
      <c r="I212" s="3">
        <v>30.96</v>
      </c>
      <c r="J212" s="2"/>
      <c r="K212" s="2"/>
      <c r="L212" s="2"/>
      <c r="M212" s="4"/>
    </row>
    <row r="213" spans="1:13" s="5" customFormat="1" ht="24" customHeight="1" thickBot="1">
      <c r="A213" s="6">
        <v>46008</v>
      </c>
      <c r="B213" s="5" t="s">
        <v>42</v>
      </c>
      <c r="C213" s="5" t="s">
        <v>32</v>
      </c>
      <c r="D213" s="5" t="s">
        <v>36</v>
      </c>
      <c r="E213" s="7">
        <v>269412</v>
      </c>
      <c r="F213" s="3">
        <v>50</v>
      </c>
      <c r="G213" s="53">
        <v>1548</v>
      </c>
      <c r="H213" s="13">
        <v>-7920.0399999999954</v>
      </c>
      <c r="I213" s="3">
        <v>30.96</v>
      </c>
      <c r="J213" s="2"/>
      <c r="K213" s="2"/>
      <c r="L213" s="2"/>
      <c r="M213" s="4"/>
    </row>
    <row r="214" spans="1:13" s="5" customFormat="1" ht="24" customHeight="1" thickBot="1">
      <c r="A214" s="6">
        <v>46008</v>
      </c>
      <c r="B214" s="5" t="s">
        <v>49</v>
      </c>
      <c r="C214" s="5" t="s">
        <v>6</v>
      </c>
      <c r="D214" s="5" t="s">
        <v>35</v>
      </c>
      <c r="E214" s="7">
        <v>164475</v>
      </c>
      <c r="F214" s="3">
        <v>50</v>
      </c>
      <c r="G214" s="53">
        <v>1548</v>
      </c>
      <c r="H214" s="13">
        <v>-9468.0399999999954</v>
      </c>
      <c r="I214" s="3">
        <v>30.96</v>
      </c>
      <c r="J214" s="2"/>
      <c r="K214" s="2"/>
      <c r="L214" s="2"/>
      <c r="M214" s="4"/>
    </row>
    <row r="215" spans="1:13" s="5" customFormat="1" ht="24" customHeight="1" thickBot="1">
      <c r="A215" s="6">
        <v>46008</v>
      </c>
      <c r="B215" s="5" t="s">
        <v>54</v>
      </c>
      <c r="C215" s="5" t="s">
        <v>16</v>
      </c>
      <c r="D215" s="5" t="s">
        <v>36</v>
      </c>
      <c r="E215" s="7">
        <v>229438</v>
      </c>
      <c r="F215" s="3">
        <v>50</v>
      </c>
      <c r="G215" s="53">
        <v>1548</v>
      </c>
      <c r="H215" s="13">
        <v>-11016.039999999995</v>
      </c>
      <c r="I215" s="3">
        <v>30.96</v>
      </c>
      <c r="J215" s="2"/>
      <c r="K215" s="2"/>
      <c r="L215" s="2"/>
      <c r="M215" s="4"/>
    </row>
    <row r="216" spans="1:13" s="5" customFormat="1" ht="24" customHeight="1" thickBot="1">
      <c r="A216" s="6">
        <v>46008</v>
      </c>
      <c r="B216" s="5" t="s">
        <v>92</v>
      </c>
      <c r="C216" s="5" t="s">
        <v>8</v>
      </c>
      <c r="D216" s="5" t="s">
        <v>34</v>
      </c>
      <c r="E216" s="7">
        <v>27823</v>
      </c>
      <c r="F216" s="3">
        <v>59.999999999999993</v>
      </c>
      <c r="G216" s="53">
        <v>1857.6</v>
      </c>
      <c r="H216" s="13">
        <v>-12873.639999999996</v>
      </c>
      <c r="I216" s="3">
        <v>30.96</v>
      </c>
      <c r="J216" s="2"/>
      <c r="K216" s="2"/>
      <c r="L216" s="2"/>
      <c r="M216" s="4"/>
    </row>
    <row r="217" spans="1:13" s="5" customFormat="1" ht="24" customHeight="1" thickBot="1">
      <c r="A217" s="6">
        <v>46008</v>
      </c>
      <c r="B217" s="5" t="s">
        <v>55</v>
      </c>
      <c r="C217" s="5" t="s">
        <v>15</v>
      </c>
      <c r="D217" s="5" t="s">
        <v>36</v>
      </c>
      <c r="E217" s="7">
        <v>276266</v>
      </c>
      <c r="F217" s="3">
        <v>50</v>
      </c>
      <c r="G217" s="53">
        <v>1548</v>
      </c>
      <c r="H217" s="13">
        <v>-14421.639999999996</v>
      </c>
      <c r="I217" s="3">
        <v>30.96</v>
      </c>
      <c r="J217" s="2"/>
      <c r="K217" s="2"/>
      <c r="L217" s="2"/>
      <c r="M217" s="4"/>
    </row>
    <row r="218" spans="1:13" s="5" customFormat="1" ht="24" customHeight="1" thickBot="1">
      <c r="A218" s="6">
        <v>46008</v>
      </c>
      <c r="B218" s="5" t="s">
        <v>44</v>
      </c>
      <c r="C218" s="5" t="s">
        <v>14</v>
      </c>
      <c r="D218" s="5" t="s">
        <v>36</v>
      </c>
      <c r="E218" s="7">
        <v>673195</v>
      </c>
      <c r="F218" s="3">
        <v>59.999999999999993</v>
      </c>
      <c r="G218" s="53">
        <v>1857.6</v>
      </c>
      <c r="H218" s="13">
        <v>-16279.239999999996</v>
      </c>
      <c r="I218" s="3">
        <v>30.96</v>
      </c>
      <c r="J218" s="2"/>
      <c r="K218" s="2"/>
      <c r="L218" s="2"/>
      <c r="M218" s="4"/>
    </row>
    <row r="219" spans="1:13" s="5" customFormat="1" ht="24" customHeight="1" thickBot="1">
      <c r="A219" s="6">
        <v>46008</v>
      </c>
      <c r="B219" s="5" t="s">
        <v>39</v>
      </c>
      <c r="C219" s="5" t="s">
        <v>64</v>
      </c>
      <c r="D219" s="5" t="s">
        <v>34</v>
      </c>
      <c r="E219" s="7" t="s">
        <v>20</v>
      </c>
      <c r="F219" s="3">
        <v>32.299741602067179</v>
      </c>
      <c r="G219" s="53">
        <v>1000</v>
      </c>
      <c r="H219" s="13">
        <v>-17279.239999999998</v>
      </c>
      <c r="I219" s="3">
        <v>30.96</v>
      </c>
      <c r="J219" s="2"/>
      <c r="K219" s="2"/>
      <c r="L219" s="2"/>
      <c r="M219" s="4"/>
    </row>
    <row r="220" spans="1:13" s="5" customFormat="1" ht="24" customHeight="1" thickBot="1">
      <c r="A220" s="6">
        <v>46008</v>
      </c>
      <c r="B220" s="61" t="s">
        <v>56</v>
      </c>
      <c r="C220" s="61" t="s">
        <v>94</v>
      </c>
      <c r="D220" s="5" t="s">
        <v>36</v>
      </c>
      <c r="E220" s="7">
        <v>291964</v>
      </c>
      <c r="F220" s="3">
        <v>171.18863049095606</v>
      </c>
      <c r="G220" s="53">
        <v>5300</v>
      </c>
      <c r="H220" s="13">
        <v>-22579.239999999998</v>
      </c>
      <c r="I220" s="3">
        <v>30.96</v>
      </c>
      <c r="J220" s="2"/>
      <c r="K220" s="2"/>
      <c r="L220" s="2"/>
      <c r="M220" s="4"/>
    </row>
    <row r="221" spans="1:13" s="5" customFormat="1" ht="24" customHeight="1" thickBot="1">
      <c r="A221" s="6">
        <v>46008</v>
      </c>
      <c r="B221" s="5" t="s">
        <v>49</v>
      </c>
      <c r="C221" s="5" t="s">
        <v>6</v>
      </c>
      <c r="D221" s="5" t="s">
        <v>35</v>
      </c>
      <c r="E221" s="7">
        <v>164616</v>
      </c>
      <c r="F221" s="3">
        <v>50</v>
      </c>
      <c r="G221" s="53">
        <v>1548</v>
      </c>
      <c r="H221" s="13">
        <v>-24127.239999999998</v>
      </c>
      <c r="I221" s="3">
        <v>30.96</v>
      </c>
      <c r="J221" s="2"/>
      <c r="K221" s="2"/>
      <c r="L221" s="2"/>
      <c r="M221" s="4"/>
    </row>
    <row r="222" spans="1:13" s="5" customFormat="1" ht="24" customHeight="1" thickBot="1">
      <c r="A222" s="6">
        <v>46008</v>
      </c>
      <c r="B222" s="5" t="s">
        <v>42</v>
      </c>
      <c r="C222" s="5" t="s">
        <v>32</v>
      </c>
      <c r="D222" s="5" t="s">
        <v>34</v>
      </c>
      <c r="E222" s="7">
        <v>269554</v>
      </c>
      <c r="F222" s="3">
        <v>50</v>
      </c>
      <c r="G222" s="53">
        <v>1548</v>
      </c>
      <c r="H222" s="13">
        <v>-25675.239999999998</v>
      </c>
      <c r="I222" s="3">
        <v>30.96</v>
      </c>
      <c r="J222" s="2"/>
      <c r="K222" s="2"/>
      <c r="L222" s="2"/>
      <c r="M222" s="4"/>
    </row>
    <row r="223" spans="1:13" s="5" customFormat="1" ht="24" customHeight="1" thickBot="1">
      <c r="A223" s="6">
        <v>46008</v>
      </c>
      <c r="B223" s="5" t="s">
        <v>41</v>
      </c>
      <c r="C223" s="5" t="s">
        <v>9</v>
      </c>
      <c r="D223" s="5" t="s">
        <v>34</v>
      </c>
      <c r="E223" s="7">
        <v>917883</v>
      </c>
      <c r="F223" s="3">
        <v>59.999999999999993</v>
      </c>
      <c r="G223" s="53">
        <v>1857.6</v>
      </c>
      <c r="H223" s="13">
        <v>-27532.839999999997</v>
      </c>
      <c r="I223" s="3">
        <v>30.96</v>
      </c>
      <c r="J223" s="2"/>
      <c r="K223" s="2"/>
      <c r="L223" s="2"/>
      <c r="M223" s="4"/>
    </row>
    <row r="224" spans="1:13" s="5" customFormat="1" ht="24" customHeight="1" thickBot="1">
      <c r="A224" s="6">
        <v>46009</v>
      </c>
      <c r="B224" s="14" t="s">
        <v>20</v>
      </c>
      <c r="C224" s="14" t="s">
        <v>20</v>
      </c>
      <c r="D224" s="14" t="s">
        <v>20</v>
      </c>
      <c r="E224" s="15" t="s">
        <v>65</v>
      </c>
      <c r="F224" s="3"/>
      <c r="G224" s="53">
        <v>-70000</v>
      </c>
      <c r="H224" s="13">
        <v>42467.16</v>
      </c>
      <c r="I224" s="3">
        <v>30.96</v>
      </c>
      <c r="J224" s="2" t="s">
        <v>106</v>
      </c>
      <c r="K224" s="2"/>
      <c r="L224" s="2"/>
      <c r="M224" s="4"/>
    </row>
    <row r="225" spans="1:13" s="5" customFormat="1" ht="24" customHeight="1" thickBot="1">
      <c r="A225" s="6">
        <v>46009</v>
      </c>
      <c r="B225" s="5" t="s">
        <v>50</v>
      </c>
      <c r="C225" s="5" t="s">
        <v>5</v>
      </c>
      <c r="D225" s="5" t="s">
        <v>34</v>
      </c>
      <c r="E225" s="7">
        <v>192232</v>
      </c>
      <c r="F225" s="3">
        <v>50</v>
      </c>
      <c r="G225" s="53">
        <v>1548</v>
      </c>
      <c r="H225" s="13">
        <v>40919.160000000003</v>
      </c>
      <c r="I225" s="3">
        <v>30.96</v>
      </c>
      <c r="J225" s="2"/>
      <c r="K225" s="2"/>
      <c r="L225" s="2"/>
      <c r="M225" s="4"/>
    </row>
    <row r="226" spans="1:13" s="5" customFormat="1" ht="24" customHeight="1" thickBot="1">
      <c r="A226" s="6">
        <v>46009</v>
      </c>
      <c r="B226" s="5" t="s">
        <v>51</v>
      </c>
      <c r="C226" s="5" t="s">
        <v>3</v>
      </c>
      <c r="D226" s="5" t="s">
        <v>34</v>
      </c>
      <c r="E226" s="7">
        <v>300453</v>
      </c>
      <c r="F226" s="3">
        <v>90</v>
      </c>
      <c r="G226" s="53">
        <v>2786.4</v>
      </c>
      <c r="H226" s="13">
        <v>38132.76</v>
      </c>
      <c r="I226" s="3">
        <v>30.96</v>
      </c>
      <c r="J226" s="2"/>
      <c r="K226" s="2"/>
      <c r="L226" s="2"/>
      <c r="M226" s="4"/>
    </row>
    <row r="227" spans="1:13" s="5" customFormat="1" ht="24" customHeight="1" thickBot="1">
      <c r="A227" s="6">
        <v>46009</v>
      </c>
      <c r="B227" s="5" t="s">
        <v>52</v>
      </c>
      <c r="C227" s="5" t="s">
        <v>4</v>
      </c>
      <c r="D227" s="5" t="s">
        <v>35</v>
      </c>
      <c r="E227" s="7">
        <v>167482</v>
      </c>
      <c r="F227" s="3">
        <v>35.529715762273902</v>
      </c>
      <c r="G227" s="53">
        <v>1100</v>
      </c>
      <c r="H227" s="13">
        <v>37032.76</v>
      </c>
      <c r="I227" s="3">
        <v>30.96</v>
      </c>
      <c r="J227" s="2"/>
      <c r="K227" s="2"/>
      <c r="L227" s="2"/>
      <c r="M227" s="4"/>
    </row>
    <row r="228" spans="1:13" s="5" customFormat="1" ht="24" customHeight="1" thickBot="1">
      <c r="A228" s="6">
        <v>46009</v>
      </c>
      <c r="B228" s="5" t="s">
        <v>57</v>
      </c>
      <c r="C228" s="5" t="s">
        <v>12</v>
      </c>
      <c r="D228" s="5" t="s">
        <v>35</v>
      </c>
      <c r="E228" s="7">
        <v>166430</v>
      </c>
      <c r="F228" s="3">
        <v>50</v>
      </c>
      <c r="G228" s="53">
        <v>1548</v>
      </c>
      <c r="H228" s="13">
        <v>35484.76</v>
      </c>
      <c r="I228" s="3">
        <v>30.96</v>
      </c>
      <c r="J228" s="2"/>
      <c r="K228" s="2"/>
      <c r="L228" s="2"/>
      <c r="M228" s="4"/>
    </row>
    <row r="229" spans="1:13" s="5" customFormat="1" ht="24" customHeight="1" thickBot="1">
      <c r="A229" s="6">
        <v>46009</v>
      </c>
      <c r="B229" s="5" t="s">
        <v>54</v>
      </c>
      <c r="C229" s="5" t="s">
        <v>16</v>
      </c>
      <c r="D229" s="5" t="s">
        <v>35</v>
      </c>
      <c r="E229" s="7">
        <v>229594</v>
      </c>
      <c r="F229" s="3">
        <v>50</v>
      </c>
      <c r="G229" s="53">
        <v>1548</v>
      </c>
      <c r="H229" s="13">
        <v>33936.76</v>
      </c>
      <c r="I229" s="3">
        <v>30.96</v>
      </c>
      <c r="J229" s="2"/>
      <c r="K229" s="2"/>
      <c r="L229" s="2"/>
      <c r="M229" s="4"/>
    </row>
    <row r="230" spans="1:13" s="5" customFormat="1" ht="24" customHeight="1" thickBot="1">
      <c r="A230" s="6">
        <v>46009</v>
      </c>
      <c r="B230" s="5" t="s">
        <v>60</v>
      </c>
      <c r="C230" s="5" t="s">
        <v>2</v>
      </c>
      <c r="D230" s="5" t="s">
        <v>35</v>
      </c>
      <c r="E230" s="7">
        <v>144085</v>
      </c>
      <c r="F230" s="3">
        <v>50</v>
      </c>
      <c r="G230" s="53">
        <v>1548</v>
      </c>
      <c r="H230" s="13">
        <v>32388.760000000002</v>
      </c>
      <c r="I230" s="3">
        <v>30.96</v>
      </c>
      <c r="J230" s="2"/>
      <c r="K230" s="2"/>
      <c r="L230" s="2"/>
      <c r="M230" s="4"/>
    </row>
    <row r="231" spans="1:13" s="5" customFormat="1" ht="24" customHeight="1" thickBot="1">
      <c r="A231" s="6">
        <v>46009</v>
      </c>
      <c r="B231" s="61" t="s">
        <v>43</v>
      </c>
      <c r="C231" s="61" t="s">
        <v>1</v>
      </c>
      <c r="D231" s="5" t="s">
        <v>35</v>
      </c>
      <c r="E231" s="7">
        <v>165431</v>
      </c>
      <c r="F231" s="3">
        <v>50</v>
      </c>
      <c r="G231" s="53">
        <v>1548</v>
      </c>
      <c r="H231" s="13">
        <v>30840.760000000002</v>
      </c>
      <c r="I231" s="3">
        <v>30.96</v>
      </c>
      <c r="J231" s="2"/>
      <c r="K231" s="2"/>
      <c r="L231" s="2"/>
      <c r="M231" s="4"/>
    </row>
    <row r="232" spans="1:13" s="5" customFormat="1" ht="24" customHeight="1" thickBot="1">
      <c r="A232" s="6">
        <v>46009</v>
      </c>
      <c r="B232" s="5" t="s">
        <v>92</v>
      </c>
      <c r="C232" s="5" t="s">
        <v>8</v>
      </c>
      <c r="D232" s="5" t="s">
        <v>35</v>
      </c>
      <c r="E232" s="7">
        <v>27988</v>
      </c>
      <c r="F232" s="3">
        <v>59.999999999999993</v>
      </c>
      <c r="G232" s="53">
        <v>1857.6</v>
      </c>
      <c r="H232" s="13">
        <v>28983.160000000003</v>
      </c>
      <c r="I232" s="3">
        <v>30.96</v>
      </c>
      <c r="J232" s="2"/>
      <c r="K232" s="2"/>
      <c r="L232" s="2"/>
      <c r="M232" s="4"/>
    </row>
    <row r="233" spans="1:13" s="5" customFormat="1" ht="24" customHeight="1" thickBot="1">
      <c r="A233" s="6">
        <v>46009</v>
      </c>
      <c r="B233" s="5" t="s">
        <v>44</v>
      </c>
      <c r="C233" s="5" t="s">
        <v>14</v>
      </c>
      <c r="D233" s="5" t="s">
        <v>36</v>
      </c>
      <c r="E233" s="7">
        <v>673316</v>
      </c>
      <c r="F233" s="3">
        <v>59.999999999999993</v>
      </c>
      <c r="G233" s="53">
        <v>1857.6</v>
      </c>
      <c r="H233" s="13">
        <v>27125.560000000005</v>
      </c>
      <c r="I233" s="3">
        <v>30.96</v>
      </c>
      <c r="J233" s="2"/>
      <c r="K233" s="2"/>
      <c r="L233" s="2"/>
      <c r="M233" s="4"/>
    </row>
    <row r="234" spans="1:13" s="5" customFormat="1" ht="24" customHeight="1" thickBot="1">
      <c r="A234" s="6">
        <v>46009</v>
      </c>
      <c r="B234" s="5" t="s">
        <v>59</v>
      </c>
      <c r="C234" s="5" t="s">
        <v>11</v>
      </c>
      <c r="D234" s="5" t="s">
        <v>35</v>
      </c>
      <c r="E234" s="7">
        <v>231035</v>
      </c>
      <c r="F234" s="3">
        <v>50</v>
      </c>
      <c r="G234" s="53">
        <v>1548</v>
      </c>
      <c r="H234" s="13">
        <v>25577.560000000005</v>
      </c>
      <c r="I234" s="3">
        <v>30.96</v>
      </c>
      <c r="J234" s="2"/>
      <c r="K234" s="2"/>
      <c r="L234" s="2"/>
      <c r="M234" s="4"/>
    </row>
    <row r="235" spans="1:13" s="5" customFormat="1" ht="24" customHeight="1" thickBot="1">
      <c r="A235" s="6">
        <v>46009</v>
      </c>
      <c r="B235" s="5" t="s">
        <v>45</v>
      </c>
      <c r="C235" s="5" t="s">
        <v>7</v>
      </c>
      <c r="D235" s="5" t="s">
        <v>35</v>
      </c>
      <c r="E235" s="7">
        <v>170616</v>
      </c>
      <c r="F235" s="3">
        <v>93.000645994832041</v>
      </c>
      <c r="G235" s="53">
        <v>2879.3</v>
      </c>
      <c r="H235" s="13">
        <v>22698.260000000006</v>
      </c>
      <c r="I235" s="3">
        <v>30.96</v>
      </c>
      <c r="J235" s="2"/>
      <c r="K235" s="2"/>
      <c r="L235" s="2"/>
      <c r="M235" s="4"/>
    </row>
    <row r="236" spans="1:13" s="5" customFormat="1" ht="24" customHeight="1" thickBot="1">
      <c r="A236" s="6">
        <v>46009</v>
      </c>
      <c r="B236" s="5" t="s">
        <v>49</v>
      </c>
      <c r="C236" s="5" t="s">
        <v>6</v>
      </c>
      <c r="D236" s="5" t="s">
        <v>36</v>
      </c>
      <c r="E236" s="7">
        <v>164867</v>
      </c>
      <c r="F236" s="3">
        <v>50</v>
      </c>
      <c r="G236" s="53">
        <v>1548</v>
      </c>
      <c r="H236" s="13">
        <v>21150.260000000006</v>
      </c>
      <c r="I236" s="3">
        <v>30.96</v>
      </c>
      <c r="J236" s="2"/>
      <c r="K236" s="2"/>
      <c r="L236" s="2"/>
      <c r="M236" s="4"/>
    </row>
    <row r="237" spans="1:13" s="5" customFormat="1" ht="24" customHeight="1" thickBot="1">
      <c r="A237" s="6">
        <v>46009</v>
      </c>
      <c r="B237" s="5" t="s">
        <v>42</v>
      </c>
      <c r="C237" s="5" t="s">
        <v>32</v>
      </c>
      <c r="D237" s="5" t="s">
        <v>36</v>
      </c>
      <c r="E237" s="7">
        <v>269615</v>
      </c>
      <c r="F237" s="3">
        <v>50</v>
      </c>
      <c r="G237" s="53">
        <v>1548</v>
      </c>
      <c r="H237" s="13">
        <v>19602.260000000006</v>
      </c>
      <c r="I237" s="3">
        <v>30.96</v>
      </c>
      <c r="J237" s="2"/>
      <c r="K237" s="2"/>
      <c r="L237" s="2"/>
      <c r="M237" s="4"/>
    </row>
    <row r="238" spans="1:13" s="5" customFormat="1" ht="24" customHeight="1" thickBot="1">
      <c r="A238" s="6">
        <v>46009</v>
      </c>
      <c r="B238" s="5" t="s">
        <v>48</v>
      </c>
      <c r="C238" s="5" t="s">
        <v>17</v>
      </c>
      <c r="D238" s="5" t="s">
        <v>36</v>
      </c>
      <c r="E238" s="7">
        <v>154940</v>
      </c>
      <c r="F238" s="3">
        <v>50</v>
      </c>
      <c r="G238" s="53">
        <v>1548</v>
      </c>
      <c r="H238" s="13">
        <v>18054.260000000006</v>
      </c>
      <c r="I238" s="3">
        <v>30.96</v>
      </c>
      <c r="J238" s="2"/>
      <c r="K238" s="2"/>
      <c r="L238" s="2"/>
      <c r="M238" s="4"/>
    </row>
    <row r="239" spans="1:13" s="5" customFormat="1" ht="24" customHeight="1" thickBot="1">
      <c r="A239" s="6">
        <v>46010</v>
      </c>
      <c r="B239" s="5" t="s">
        <v>54</v>
      </c>
      <c r="C239" s="5" t="s">
        <v>16</v>
      </c>
      <c r="D239" s="5" t="s">
        <v>35</v>
      </c>
      <c r="E239" s="7">
        <v>229740</v>
      </c>
      <c r="F239" s="3">
        <v>50</v>
      </c>
      <c r="G239" s="53">
        <v>1548</v>
      </c>
      <c r="H239" s="13">
        <v>16506.260000000006</v>
      </c>
      <c r="I239" s="3">
        <v>30.96</v>
      </c>
      <c r="J239" s="2"/>
      <c r="K239" s="2"/>
      <c r="L239" s="2"/>
      <c r="M239" s="4"/>
    </row>
    <row r="240" spans="1:13" s="5" customFormat="1" ht="24" customHeight="1" thickBot="1">
      <c r="A240" s="6">
        <v>46010</v>
      </c>
      <c r="B240" s="5" t="s">
        <v>51</v>
      </c>
      <c r="C240" s="5" t="s">
        <v>3</v>
      </c>
      <c r="D240" s="5" t="s">
        <v>34</v>
      </c>
      <c r="E240" s="7">
        <v>300637</v>
      </c>
      <c r="F240" s="3">
        <v>90</v>
      </c>
      <c r="G240" s="53">
        <v>2786.4</v>
      </c>
      <c r="H240" s="13">
        <v>13719.860000000006</v>
      </c>
      <c r="I240" s="3">
        <v>30.96</v>
      </c>
      <c r="J240" s="2"/>
      <c r="K240" s="2"/>
      <c r="L240" s="2"/>
      <c r="M240" s="4"/>
    </row>
    <row r="241" spans="1:13" s="5" customFormat="1" ht="24" customHeight="1" thickBot="1">
      <c r="A241" s="6">
        <v>46010</v>
      </c>
      <c r="B241" s="5" t="s">
        <v>48</v>
      </c>
      <c r="C241" s="5" t="s">
        <v>17</v>
      </c>
      <c r="D241" s="5" t="s">
        <v>35</v>
      </c>
      <c r="E241" s="7">
        <v>155128</v>
      </c>
      <c r="F241" s="3">
        <v>69.999999999999986</v>
      </c>
      <c r="G241" s="53">
        <v>2167.1999999999998</v>
      </c>
      <c r="H241" s="13">
        <v>11552.660000000007</v>
      </c>
      <c r="I241" s="3">
        <v>30.96</v>
      </c>
      <c r="J241" s="2"/>
      <c r="K241" s="2"/>
      <c r="L241" s="2"/>
      <c r="M241" s="4"/>
    </row>
    <row r="242" spans="1:13" s="5" customFormat="1" ht="24" customHeight="1" thickBot="1">
      <c r="A242" s="6">
        <v>46010</v>
      </c>
      <c r="B242" s="5" t="s">
        <v>53</v>
      </c>
      <c r="C242" s="5" t="s">
        <v>10</v>
      </c>
      <c r="D242" s="5" t="s">
        <v>34</v>
      </c>
      <c r="E242" s="7">
        <v>289845</v>
      </c>
      <c r="F242" s="3">
        <v>50</v>
      </c>
      <c r="G242" s="53">
        <v>1548</v>
      </c>
      <c r="H242" s="13">
        <v>10004.660000000007</v>
      </c>
      <c r="I242" s="3">
        <v>30.96</v>
      </c>
      <c r="J242" s="2"/>
      <c r="K242" s="2"/>
      <c r="L242" s="2"/>
      <c r="M242" s="4"/>
    </row>
    <row r="243" spans="1:13" s="5" customFormat="1" ht="24" customHeight="1" thickBot="1">
      <c r="A243" s="6">
        <v>46010</v>
      </c>
      <c r="B243" s="5" t="s">
        <v>59</v>
      </c>
      <c r="C243" s="5" t="s">
        <v>11</v>
      </c>
      <c r="D243" s="5" t="s">
        <v>35</v>
      </c>
      <c r="E243" s="7">
        <v>231186</v>
      </c>
      <c r="F243" s="3">
        <v>50</v>
      </c>
      <c r="G243" s="53">
        <v>1548</v>
      </c>
      <c r="H243" s="13">
        <v>8456.6600000000071</v>
      </c>
      <c r="I243" s="3">
        <v>30.96</v>
      </c>
      <c r="J243" s="2"/>
      <c r="K243" s="2"/>
      <c r="L243" s="2"/>
      <c r="M243" s="4"/>
    </row>
    <row r="244" spans="1:13" s="5" customFormat="1" ht="24" customHeight="1" thickBot="1">
      <c r="A244" s="6">
        <v>46010</v>
      </c>
      <c r="B244" s="61" t="s">
        <v>43</v>
      </c>
      <c r="C244" s="61" t="s">
        <v>1</v>
      </c>
      <c r="D244" s="5" t="s">
        <v>36</v>
      </c>
      <c r="E244" s="7">
        <v>165565</v>
      </c>
      <c r="F244" s="3">
        <v>90</v>
      </c>
      <c r="G244" s="53">
        <v>2786.4</v>
      </c>
      <c r="H244" s="13">
        <v>5670.2600000000075</v>
      </c>
      <c r="I244" s="3">
        <v>30.96</v>
      </c>
      <c r="J244" s="2"/>
      <c r="K244" s="2"/>
      <c r="L244" s="2"/>
      <c r="M244" s="4"/>
    </row>
    <row r="245" spans="1:13" s="5" customFormat="1" ht="24" customHeight="1" thickBot="1">
      <c r="A245" s="6">
        <v>46010</v>
      </c>
      <c r="B245" s="5" t="s">
        <v>49</v>
      </c>
      <c r="C245" s="5" t="s">
        <v>6</v>
      </c>
      <c r="D245" s="5" t="s">
        <v>35</v>
      </c>
      <c r="E245" s="7">
        <v>165122</v>
      </c>
      <c r="F245" s="3">
        <v>69.999999999999986</v>
      </c>
      <c r="G245" s="53">
        <v>2167.1999999999998</v>
      </c>
      <c r="H245" s="13">
        <v>3503.0600000000077</v>
      </c>
      <c r="I245" s="3">
        <v>30.96</v>
      </c>
      <c r="J245" s="2"/>
      <c r="K245" s="2"/>
      <c r="L245" s="2"/>
      <c r="M245" s="4"/>
    </row>
    <row r="246" spans="1:13" s="5" customFormat="1" ht="24" customHeight="1" thickBot="1">
      <c r="A246" s="6">
        <v>46009</v>
      </c>
      <c r="B246" s="5" t="s">
        <v>55</v>
      </c>
      <c r="C246" s="5" t="s">
        <v>15</v>
      </c>
      <c r="D246" s="5" t="s">
        <v>35</v>
      </c>
      <c r="E246" s="7">
        <v>276417</v>
      </c>
      <c r="F246" s="3">
        <v>69.999999999999986</v>
      </c>
      <c r="G246" s="53">
        <v>2167.1999999999998</v>
      </c>
      <c r="H246" s="13">
        <v>1335.8600000000079</v>
      </c>
      <c r="I246" s="3">
        <v>30.96</v>
      </c>
      <c r="J246" s="2"/>
      <c r="K246" s="2"/>
      <c r="L246" s="2"/>
      <c r="M246" s="4"/>
    </row>
    <row r="247" spans="1:13" s="5" customFormat="1" ht="24" customHeight="1" thickBot="1">
      <c r="A247" s="6">
        <v>46009</v>
      </c>
      <c r="B247" s="61" t="s">
        <v>63</v>
      </c>
      <c r="C247" s="61" t="s">
        <v>13</v>
      </c>
      <c r="D247" s="5" t="s">
        <v>35</v>
      </c>
      <c r="E247" s="7">
        <v>249000</v>
      </c>
      <c r="F247" s="3">
        <v>166.00129198966405</v>
      </c>
      <c r="G247" s="53">
        <v>5139.3999999999996</v>
      </c>
      <c r="H247" s="13">
        <v>-3803.5399999999918</v>
      </c>
      <c r="I247" s="3">
        <v>30.96</v>
      </c>
      <c r="J247" s="2"/>
      <c r="K247" s="2"/>
      <c r="L247" s="2"/>
      <c r="M247" s="4"/>
    </row>
    <row r="248" spans="1:13" s="5" customFormat="1" ht="24" customHeight="1" thickBot="1">
      <c r="A248" s="6">
        <v>46010</v>
      </c>
      <c r="B248" s="5" t="s">
        <v>53</v>
      </c>
      <c r="C248" s="5" t="s">
        <v>10</v>
      </c>
      <c r="D248" s="5" t="s">
        <v>34</v>
      </c>
      <c r="E248" s="7">
        <v>289739</v>
      </c>
      <c r="F248" s="3">
        <v>50</v>
      </c>
      <c r="G248" s="53">
        <v>1548</v>
      </c>
      <c r="H248" s="13">
        <v>-5351.5399999999918</v>
      </c>
      <c r="I248" s="3">
        <v>30.96</v>
      </c>
      <c r="J248" s="2"/>
      <c r="K248" s="2"/>
      <c r="L248" s="2"/>
      <c r="M248" s="4"/>
    </row>
    <row r="249" spans="1:13" s="5" customFormat="1" ht="24" customHeight="1" thickBot="1">
      <c r="A249" s="6">
        <v>46010</v>
      </c>
      <c r="B249" s="5" t="s">
        <v>57</v>
      </c>
      <c r="C249" s="5" t="s">
        <v>12</v>
      </c>
      <c r="D249" s="5" t="s">
        <v>35</v>
      </c>
      <c r="E249" s="7">
        <v>166575</v>
      </c>
      <c r="F249" s="3">
        <v>50</v>
      </c>
      <c r="G249" s="53">
        <v>1548</v>
      </c>
      <c r="H249" s="13">
        <v>-6899.5399999999918</v>
      </c>
      <c r="I249" s="3">
        <v>30.96</v>
      </c>
      <c r="J249" s="2"/>
      <c r="K249" s="2"/>
      <c r="L249" s="2"/>
      <c r="M249" s="4"/>
    </row>
    <row r="250" spans="1:13" s="5" customFormat="1" ht="24" customHeight="1" thickBot="1">
      <c r="A250" s="6">
        <v>46010</v>
      </c>
      <c r="B250" s="5" t="s">
        <v>52</v>
      </c>
      <c r="C250" s="5" t="s">
        <v>4</v>
      </c>
      <c r="D250" s="5" t="s">
        <v>34</v>
      </c>
      <c r="E250" s="7">
        <v>167862</v>
      </c>
      <c r="F250" s="3">
        <v>90</v>
      </c>
      <c r="G250" s="53">
        <v>2786.4</v>
      </c>
      <c r="H250" s="13">
        <v>-9685.9399999999914</v>
      </c>
      <c r="I250" s="3">
        <v>30.96</v>
      </c>
      <c r="J250" s="2"/>
      <c r="K250" s="2"/>
      <c r="L250" s="2"/>
      <c r="M250" s="4"/>
    </row>
    <row r="251" spans="1:13" s="5" customFormat="1" ht="24" customHeight="1" thickBot="1">
      <c r="A251" s="6">
        <v>46010</v>
      </c>
      <c r="B251" s="5" t="s">
        <v>60</v>
      </c>
      <c r="C251" s="5" t="s">
        <v>2</v>
      </c>
      <c r="D251" s="5" t="s">
        <v>35</v>
      </c>
      <c r="E251" s="7">
        <v>144209</v>
      </c>
      <c r="F251" s="3">
        <v>50</v>
      </c>
      <c r="G251" s="53">
        <v>1548</v>
      </c>
      <c r="H251" s="13">
        <v>-11233.939999999991</v>
      </c>
      <c r="I251" s="3">
        <v>30.96</v>
      </c>
      <c r="J251" s="2"/>
      <c r="K251" s="2"/>
      <c r="L251" s="2"/>
      <c r="M251" s="4"/>
    </row>
    <row r="252" spans="1:13" s="5" customFormat="1" ht="24" customHeight="1" thickBot="1">
      <c r="A252" s="6">
        <v>46010</v>
      </c>
      <c r="B252" s="5" t="s">
        <v>42</v>
      </c>
      <c r="C252" s="5" t="s">
        <v>32</v>
      </c>
      <c r="D252" s="5" t="s">
        <v>34</v>
      </c>
      <c r="E252" s="7">
        <v>269768</v>
      </c>
      <c r="F252" s="3">
        <v>50</v>
      </c>
      <c r="G252" s="53">
        <v>1548</v>
      </c>
      <c r="H252" s="13">
        <v>-12781.939999999991</v>
      </c>
      <c r="I252" s="3">
        <v>30.96</v>
      </c>
      <c r="J252" s="2"/>
      <c r="K252" s="2"/>
      <c r="L252" s="2"/>
      <c r="M252" s="4"/>
    </row>
    <row r="253" spans="1:13" s="5" customFormat="1" ht="24" customHeight="1" thickBot="1">
      <c r="A253" s="6">
        <v>46010</v>
      </c>
      <c r="B253" s="5" t="s">
        <v>55</v>
      </c>
      <c r="C253" s="5" t="s">
        <v>15</v>
      </c>
      <c r="D253" s="5" t="s">
        <v>35</v>
      </c>
      <c r="E253" s="7">
        <v>276600</v>
      </c>
      <c r="F253" s="3">
        <v>50</v>
      </c>
      <c r="G253" s="53">
        <v>1548</v>
      </c>
      <c r="H253" s="13">
        <v>-14329.939999999991</v>
      </c>
      <c r="I253" s="3">
        <v>30.96</v>
      </c>
      <c r="J253" s="2"/>
      <c r="K253" s="2"/>
      <c r="L253" s="2"/>
      <c r="M253" s="4"/>
    </row>
    <row r="254" spans="1:13" s="5" customFormat="1" ht="24" customHeight="1" thickBot="1">
      <c r="A254" s="6">
        <v>46010</v>
      </c>
      <c r="B254" s="5" t="s">
        <v>92</v>
      </c>
      <c r="C254" s="5" t="s">
        <v>8</v>
      </c>
      <c r="D254" s="5" t="s">
        <v>35</v>
      </c>
      <c r="E254" s="7">
        <v>28123</v>
      </c>
      <c r="F254" s="3">
        <v>59.999999999999993</v>
      </c>
      <c r="G254" s="53">
        <v>1857.6</v>
      </c>
      <c r="H254" s="13">
        <v>-16187.539999999992</v>
      </c>
      <c r="I254" s="3">
        <v>30.96</v>
      </c>
      <c r="J254" s="2"/>
      <c r="K254" s="2"/>
      <c r="L254" s="2"/>
      <c r="M254" s="4"/>
    </row>
    <row r="255" spans="1:13" s="5" customFormat="1" ht="24" customHeight="1" thickBot="1">
      <c r="A255" s="6">
        <v>46010</v>
      </c>
      <c r="B255" s="5" t="s">
        <v>41</v>
      </c>
      <c r="C255" s="5" t="s">
        <v>9</v>
      </c>
      <c r="D255" s="5" t="s">
        <v>35</v>
      </c>
      <c r="E255" s="7">
        <v>917977</v>
      </c>
      <c r="F255" s="3">
        <v>80</v>
      </c>
      <c r="G255" s="53">
        <v>2476.8000000000002</v>
      </c>
      <c r="H255" s="13">
        <v>-18664.339999999993</v>
      </c>
      <c r="I255" s="3">
        <v>30.96</v>
      </c>
      <c r="J255" s="2"/>
      <c r="K255" s="2"/>
      <c r="L255" s="2"/>
      <c r="M255" s="4"/>
    </row>
    <row r="256" spans="1:13" s="5" customFormat="1" ht="24" customHeight="1" thickBot="1">
      <c r="A256" s="6">
        <v>46010</v>
      </c>
      <c r="B256" s="5" t="s">
        <v>50</v>
      </c>
      <c r="C256" s="5" t="s">
        <v>5</v>
      </c>
      <c r="D256" s="5" t="s">
        <v>34</v>
      </c>
      <c r="E256" s="7">
        <v>192410</v>
      </c>
      <c r="F256" s="3">
        <v>29.999999999999996</v>
      </c>
      <c r="G256" s="53">
        <v>928.8</v>
      </c>
      <c r="H256" s="13">
        <v>-19593.139999999992</v>
      </c>
      <c r="I256" s="3">
        <v>30.96</v>
      </c>
      <c r="J256" s="2"/>
      <c r="K256" s="2"/>
      <c r="L256" s="2"/>
      <c r="M256" s="4"/>
    </row>
    <row r="257" spans="1:13" s="5" customFormat="1" ht="24" customHeight="1" thickBot="1">
      <c r="A257" s="6">
        <v>46010</v>
      </c>
      <c r="B257" s="61" t="s">
        <v>56</v>
      </c>
      <c r="C257" s="61" t="s">
        <v>94</v>
      </c>
      <c r="D257" s="5" t="s">
        <v>36</v>
      </c>
      <c r="E257" s="7">
        <v>292368</v>
      </c>
      <c r="F257" s="3">
        <v>155.68475452196381</v>
      </c>
      <c r="G257" s="53">
        <v>4820</v>
      </c>
      <c r="H257" s="13">
        <v>-24413.139999999992</v>
      </c>
      <c r="I257" s="3">
        <v>30.96</v>
      </c>
      <c r="J257" s="2"/>
      <c r="K257" s="2"/>
      <c r="L257" s="2"/>
      <c r="M257" s="4"/>
    </row>
    <row r="258" spans="1:13" s="5" customFormat="1" ht="24" customHeight="1" thickBot="1">
      <c r="A258" s="6">
        <v>46010</v>
      </c>
      <c r="B258" s="5" t="s">
        <v>44</v>
      </c>
      <c r="C258" s="5" t="s">
        <v>14</v>
      </c>
      <c r="D258" s="5" t="s">
        <v>35</v>
      </c>
      <c r="E258" s="7">
        <v>673414</v>
      </c>
      <c r="F258" s="3">
        <v>80</v>
      </c>
      <c r="G258" s="53">
        <v>2476.8000000000002</v>
      </c>
      <c r="H258" s="13">
        <v>-26889.939999999991</v>
      </c>
      <c r="I258" s="3">
        <v>30.96</v>
      </c>
      <c r="J258" s="2"/>
      <c r="K258" s="2"/>
      <c r="L258" s="2"/>
      <c r="M258" s="4"/>
    </row>
    <row r="259" spans="1:13" s="5" customFormat="1" ht="24" customHeight="1" thickBot="1">
      <c r="A259" s="6">
        <v>46011</v>
      </c>
      <c r="B259" s="5" t="s">
        <v>52</v>
      </c>
      <c r="C259" s="5" t="s">
        <v>4</v>
      </c>
      <c r="D259" s="5" t="s">
        <v>35</v>
      </c>
      <c r="E259" s="7">
        <v>168220</v>
      </c>
      <c r="F259" s="3">
        <v>50</v>
      </c>
      <c r="G259" s="53">
        <v>1548</v>
      </c>
      <c r="H259" s="13">
        <v>-28437.939999999991</v>
      </c>
      <c r="I259" s="3">
        <v>30.96</v>
      </c>
      <c r="J259" s="2"/>
      <c r="K259" s="2"/>
      <c r="L259" s="2"/>
      <c r="M259" s="4"/>
    </row>
    <row r="260" spans="1:13" s="5" customFormat="1" ht="24" customHeight="1" thickBot="1">
      <c r="A260" s="6">
        <v>46011</v>
      </c>
      <c r="B260" s="5" t="s">
        <v>49</v>
      </c>
      <c r="C260" s="5" t="s">
        <v>6</v>
      </c>
      <c r="D260" s="5" t="s">
        <v>35</v>
      </c>
      <c r="E260" s="7">
        <v>165319</v>
      </c>
      <c r="F260" s="3">
        <v>50</v>
      </c>
      <c r="G260" s="53">
        <v>1548</v>
      </c>
      <c r="H260" s="13">
        <v>-29985.939999999991</v>
      </c>
      <c r="I260" s="3">
        <v>30.96</v>
      </c>
      <c r="J260" s="2"/>
      <c r="K260" s="2"/>
      <c r="L260" s="2"/>
      <c r="M260" s="4"/>
    </row>
    <row r="261" spans="1:13" s="5" customFormat="1" ht="24" customHeight="1" thickBot="1">
      <c r="A261" s="6">
        <v>46011</v>
      </c>
      <c r="B261" s="14" t="s">
        <v>20</v>
      </c>
      <c r="C261" s="14" t="s">
        <v>20</v>
      </c>
      <c r="D261" s="14" t="s">
        <v>20</v>
      </c>
      <c r="E261" s="15" t="s">
        <v>65</v>
      </c>
      <c r="F261" s="3"/>
      <c r="G261" s="53">
        <v>-50000</v>
      </c>
      <c r="H261" s="13">
        <v>20014.060000000009</v>
      </c>
      <c r="I261" s="3">
        <v>30.96</v>
      </c>
      <c r="J261" s="2" t="s">
        <v>107</v>
      </c>
      <c r="K261" s="2"/>
      <c r="L261" s="2"/>
      <c r="M261" s="4"/>
    </row>
    <row r="262" spans="1:13" s="5" customFormat="1" ht="24" customHeight="1" thickBot="1">
      <c r="A262" s="6">
        <v>46011</v>
      </c>
      <c r="B262" s="61" t="s">
        <v>43</v>
      </c>
      <c r="C262" s="61" t="s">
        <v>1</v>
      </c>
      <c r="D262" s="5" t="s">
        <v>35</v>
      </c>
      <c r="E262" s="7">
        <v>165893</v>
      </c>
      <c r="F262" s="3">
        <v>50</v>
      </c>
      <c r="G262" s="53">
        <v>1548</v>
      </c>
      <c r="H262" s="13">
        <v>18466.060000000009</v>
      </c>
      <c r="I262" s="3">
        <v>30.96</v>
      </c>
      <c r="J262" s="2"/>
      <c r="K262" s="2"/>
      <c r="L262" s="2"/>
      <c r="M262" s="4"/>
    </row>
    <row r="263" spans="1:13" s="5" customFormat="1" ht="24" customHeight="1" thickBot="1">
      <c r="A263" s="6">
        <v>46011</v>
      </c>
      <c r="B263" s="5" t="s">
        <v>50</v>
      </c>
      <c r="C263" s="5" t="s">
        <v>5</v>
      </c>
      <c r="D263" s="5" t="s">
        <v>36</v>
      </c>
      <c r="E263" s="7">
        <v>192460</v>
      </c>
      <c r="F263" s="3">
        <v>50</v>
      </c>
      <c r="G263" s="53">
        <v>1548</v>
      </c>
      <c r="H263" s="13">
        <v>16918.060000000009</v>
      </c>
      <c r="I263" s="3">
        <v>30.96</v>
      </c>
      <c r="J263" s="2"/>
      <c r="K263" s="2"/>
      <c r="L263" s="2"/>
      <c r="M263" s="4"/>
    </row>
    <row r="264" spans="1:13" s="5" customFormat="1" ht="24" customHeight="1" thickBot="1">
      <c r="A264" s="6">
        <v>46011</v>
      </c>
      <c r="B264" s="5" t="s">
        <v>57</v>
      </c>
      <c r="C264" s="5" t="s">
        <v>12</v>
      </c>
      <c r="D264" s="5" t="s">
        <v>35</v>
      </c>
      <c r="E264" s="7">
        <v>166695</v>
      </c>
      <c r="F264" s="3">
        <v>50</v>
      </c>
      <c r="G264" s="53">
        <v>1548</v>
      </c>
      <c r="H264" s="13">
        <v>15370.060000000009</v>
      </c>
      <c r="I264" s="3">
        <v>30.96</v>
      </c>
      <c r="J264" s="2"/>
      <c r="K264" s="2"/>
      <c r="L264" s="2"/>
      <c r="M264" s="4"/>
    </row>
    <row r="265" spans="1:13" s="5" customFormat="1" ht="24" customHeight="1" thickBot="1">
      <c r="A265" s="6">
        <v>46011</v>
      </c>
      <c r="B265" s="5" t="s">
        <v>53</v>
      </c>
      <c r="C265" s="5" t="s">
        <v>10</v>
      </c>
      <c r="D265" s="5" t="s">
        <v>34</v>
      </c>
      <c r="E265" s="7">
        <v>290005</v>
      </c>
      <c r="F265" s="3">
        <v>50</v>
      </c>
      <c r="G265" s="53">
        <v>1548</v>
      </c>
      <c r="H265" s="13">
        <v>13822.060000000009</v>
      </c>
      <c r="I265" s="3">
        <v>30.96</v>
      </c>
      <c r="J265" s="2"/>
      <c r="K265" s="2"/>
      <c r="L265" s="2"/>
      <c r="M265" s="4"/>
    </row>
    <row r="266" spans="1:13" s="5" customFormat="1" ht="24" customHeight="1" thickBot="1">
      <c r="A266" s="6">
        <v>46011</v>
      </c>
      <c r="B266" s="61" t="s">
        <v>46</v>
      </c>
      <c r="C266" s="5" t="s">
        <v>17</v>
      </c>
      <c r="D266" s="5" t="s">
        <v>36</v>
      </c>
      <c r="E266" s="7">
        <v>233743</v>
      </c>
      <c r="F266" s="3">
        <v>50</v>
      </c>
      <c r="G266" s="53">
        <v>1548</v>
      </c>
      <c r="H266" s="13">
        <v>12274.060000000009</v>
      </c>
      <c r="I266" s="3">
        <v>30.96</v>
      </c>
      <c r="J266" s="2"/>
      <c r="K266" s="2"/>
      <c r="L266" s="2"/>
      <c r="M266" s="4"/>
    </row>
    <row r="267" spans="1:13" s="5" customFormat="1" ht="24" customHeight="1" thickBot="1">
      <c r="A267" s="6">
        <v>46011</v>
      </c>
      <c r="B267" s="5" t="s">
        <v>59</v>
      </c>
      <c r="C267" s="5" t="s">
        <v>11</v>
      </c>
      <c r="D267" s="5" t="s">
        <v>36</v>
      </c>
      <c r="E267" s="7">
        <v>231315</v>
      </c>
      <c r="F267" s="3">
        <v>50</v>
      </c>
      <c r="G267" s="53">
        <v>1548</v>
      </c>
      <c r="H267" s="13">
        <v>10726.060000000009</v>
      </c>
      <c r="I267" s="3">
        <v>30.96</v>
      </c>
      <c r="J267" s="2"/>
      <c r="K267" s="2"/>
      <c r="L267" s="2"/>
      <c r="M267" s="4"/>
    </row>
    <row r="268" spans="1:13" s="5" customFormat="1" ht="24" customHeight="1" thickBot="1">
      <c r="A268" s="6">
        <v>46011</v>
      </c>
      <c r="B268" s="5" t="s">
        <v>41</v>
      </c>
      <c r="C268" s="5" t="s">
        <v>9</v>
      </c>
      <c r="D268" s="5" t="s">
        <v>36</v>
      </c>
      <c r="E268" s="7">
        <v>918166</v>
      </c>
      <c r="F268" s="3">
        <v>59.999999999999993</v>
      </c>
      <c r="G268" s="53">
        <v>1857.6</v>
      </c>
      <c r="H268" s="13">
        <v>8868.4600000000082</v>
      </c>
      <c r="I268" s="3">
        <v>30.96</v>
      </c>
      <c r="J268" s="2"/>
      <c r="K268" s="2"/>
      <c r="L268" s="2"/>
      <c r="M268" s="4"/>
    </row>
    <row r="269" spans="1:13" s="5" customFormat="1" ht="24" customHeight="1" thickBot="1">
      <c r="A269" s="6">
        <v>46011</v>
      </c>
      <c r="B269" s="5" t="s">
        <v>39</v>
      </c>
      <c r="C269" s="5" t="s">
        <v>64</v>
      </c>
      <c r="D269" s="5" t="s">
        <v>34</v>
      </c>
      <c r="E269" s="7" t="s">
        <v>20</v>
      </c>
      <c r="F269" s="3">
        <v>32.299741602067179</v>
      </c>
      <c r="G269" s="53">
        <v>1000</v>
      </c>
      <c r="H269" s="13">
        <v>7868.4600000000082</v>
      </c>
      <c r="I269" s="3">
        <v>30.96</v>
      </c>
      <c r="J269" s="2"/>
      <c r="K269" s="2"/>
      <c r="L269" s="2"/>
      <c r="M269" s="4"/>
    </row>
    <row r="270" spans="1:13" s="5" customFormat="1" ht="24" customHeight="1" thickBot="1">
      <c r="A270" s="6">
        <v>46011</v>
      </c>
      <c r="B270" s="61" t="s">
        <v>58</v>
      </c>
      <c r="C270" s="5" t="s">
        <v>8</v>
      </c>
      <c r="D270" s="5" t="s">
        <v>34</v>
      </c>
      <c r="E270" s="7">
        <v>196226</v>
      </c>
      <c r="F270" s="3">
        <v>59.999999999999993</v>
      </c>
      <c r="G270" s="53">
        <v>1857.6</v>
      </c>
      <c r="H270" s="13">
        <v>6010.8600000000079</v>
      </c>
      <c r="I270" s="3">
        <v>30.96</v>
      </c>
      <c r="J270" s="2"/>
      <c r="K270" s="2"/>
      <c r="L270" s="2"/>
      <c r="M270" s="4"/>
    </row>
    <row r="271" spans="1:13" s="5" customFormat="1" ht="24" customHeight="1" thickBot="1">
      <c r="A271" s="6">
        <v>46011</v>
      </c>
      <c r="B271" s="5" t="s">
        <v>44</v>
      </c>
      <c r="C271" s="5" t="s">
        <v>14</v>
      </c>
      <c r="D271" s="5" t="s">
        <v>35</v>
      </c>
      <c r="E271" s="7">
        <v>673587</v>
      </c>
      <c r="F271" s="3">
        <v>59.999999999999993</v>
      </c>
      <c r="G271" s="53">
        <v>1857.6</v>
      </c>
      <c r="H271" s="13">
        <v>4153.2600000000075</v>
      </c>
      <c r="I271" s="3">
        <v>30.96</v>
      </c>
      <c r="J271" s="2"/>
      <c r="K271" s="2"/>
      <c r="L271" s="2"/>
      <c r="M271" s="4"/>
    </row>
    <row r="272" spans="1:13" s="5" customFormat="1" ht="24" customHeight="1" thickBot="1">
      <c r="A272" s="6">
        <v>46011</v>
      </c>
      <c r="B272" s="5" t="s">
        <v>42</v>
      </c>
      <c r="C272" s="5" t="s">
        <v>32</v>
      </c>
      <c r="D272" s="5" t="s">
        <v>36</v>
      </c>
      <c r="E272" s="7">
        <v>270074</v>
      </c>
      <c r="F272" s="3">
        <v>50</v>
      </c>
      <c r="G272" s="53">
        <v>1548</v>
      </c>
      <c r="H272" s="13">
        <v>2605.2600000000075</v>
      </c>
      <c r="I272" s="3">
        <v>30.96</v>
      </c>
      <c r="J272" s="2"/>
      <c r="K272" s="2"/>
      <c r="L272" s="2"/>
      <c r="M272" s="4"/>
    </row>
    <row r="273" spans="1:13" s="5" customFormat="1" ht="24" customHeight="1" thickBot="1">
      <c r="A273" s="6">
        <v>46012</v>
      </c>
      <c r="B273" s="5" t="s">
        <v>52</v>
      </c>
      <c r="C273" s="5" t="s">
        <v>4</v>
      </c>
      <c r="D273" s="5" t="s">
        <v>36</v>
      </c>
      <c r="E273" s="7">
        <v>168357</v>
      </c>
      <c r="F273" s="3">
        <v>69.999999999999986</v>
      </c>
      <c r="G273" s="53">
        <v>2167.1999999999998</v>
      </c>
      <c r="H273" s="13">
        <v>438.06000000000768</v>
      </c>
      <c r="I273" s="3">
        <v>30.96</v>
      </c>
      <c r="J273" s="2"/>
      <c r="K273" s="2"/>
      <c r="L273" s="2"/>
      <c r="M273" s="4"/>
    </row>
    <row r="274" spans="1:13" s="5" customFormat="1" ht="24" customHeight="1" thickBot="1">
      <c r="A274" s="6">
        <v>46012</v>
      </c>
      <c r="B274" s="5" t="s">
        <v>49</v>
      </c>
      <c r="C274" s="5" t="s">
        <v>6</v>
      </c>
      <c r="D274" s="5" t="s">
        <v>36</v>
      </c>
      <c r="E274" s="7">
        <v>165454</v>
      </c>
      <c r="F274" s="3">
        <v>69.999999999999986</v>
      </c>
      <c r="G274" s="53">
        <v>2167.1999999999998</v>
      </c>
      <c r="H274" s="13">
        <v>-1729.1399999999921</v>
      </c>
      <c r="I274" s="3">
        <v>30.96</v>
      </c>
      <c r="J274" s="2"/>
      <c r="K274" s="2"/>
      <c r="L274" s="2"/>
      <c r="M274" s="4"/>
    </row>
    <row r="275" spans="1:13" s="5" customFormat="1" ht="24" customHeight="1" thickBot="1">
      <c r="A275" s="6">
        <v>46012</v>
      </c>
      <c r="B275" s="61" t="s">
        <v>46</v>
      </c>
      <c r="C275" s="5" t="s">
        <v>17</v>
      </c>
      <c r="D275" s="5" t="s">
        <v>34</v>
      </c>
      <c r="E275" s="7">
        <v>233921</v>
      </c>
      <c r="F275" s="3">
        <v>20</v>
      </c>
      <c r="G275" s="53">
        <v>619.20000000000005</v>
      </c>
      <c r="H275" s="13">
        <v>-2348.339999999992</v>
      </c>
      <c r="I275" s="3">
        <v>30.96</v>
      </c>
      <c r="J275" s="2"/>
      <c r="K275" s="2"/>
      <c r="L275" s="2"/>
      <c r="M275" s="4"/>
    </row>
    <row r="276" spans="1:13" s="5" customFormat="1" ht="24" customHeight="1" thickBot="1">
      <c r="A276" s="6">
        <v>46012</v>
      </c>
      <c r="B276" s="5" t="s">
        <v>54</v>
      </c>
      <c r="C276" s="5" t="s">
        <v>16</v>
      </c>
      <c r="D276" s="5" t="s">
        <v>36</v>
      </c>
      <c r="E276" s="7">
        <v>230000</v>
      </c>
      <c r="F276" s="3">
        <v>69.999999999999986</v>
      </c>
      <c r="G276" s="53">
        <v>2167.1999999999998</v>
      </c>
      <c r="H276" s="13">
        <v>-4515.5399999999918</v>
      </c>
      <c r="I276" s="3">
        <v>30.96</v>
      </c>
      <c r="J276" s="2"/>
      <c r="K276" s="2"/>
      <c r="L276" s="2"/>
      <c r="M276" s="4"/>
    </row>
    <row r="277" spans="1:13" s="5" customFormat="1" ht="24" customHeight="1" thickBot="1">
      <c r="A277" s="6">
        <v>46012</v>
      </c>
      <c r="B277" s="5" t="s">
        <v>41</v>
      </c>
      <c r="C277" s="5" t="s">
        <v>9</v>
      </c>
      <c r="D277" s="5" t="s">
        <v>36</v>
      </c>
      <c r="E277" s="7">
        <v>918342</v>
      </c>
      <c r="F277" s="3">
        <v>80</v>
      </c>
      <c r="G277" s="53">
        <v>2476.8000000000002</v>
      </c>
      <c r="H277" s="13">
        <v>-6992.339999999992</v>
      </c>
      <c r="I277" s="3">
        <v>30.96</v>
      </c>
      <c r="J277" s="2"/>
      <c r="K277" s="2"/>
      <c r="L277" s="2"/>
      <c r="M277" s="4"/>
    </row>
    <row r="278" spans="1:13" s="5" customFormat="1" ht="24" customHeight="1" thickBot="1">
      <c r="A278" s="6">
        <v>46012</v>
      </c>
      <c r="B278" s="5" t="s">
        <v>45</v>
      </c>
      <c r="C278" s="5" t="s">
        <v>7</v>
      </c>
      <c r="D278" s="5" t="s">
        <v>36</v>
      </c>
      <c r="E278" s="7">
        <v>171010</v>
      </c>
      <c r="F278" s="3">
        <v>69.999999999999986</v>
      </c>
      <c r="G278" s="53">
        <v>2167.1999999999998</v>
      </c>
      <c r="H278" s="13">
        <v>-9159.5399999999918</v>
      </c>
      <c r="I278" s="3">
        <v>30.96</v>
      </c>
      <c r="J278" s="2"/>
      <c r="K278" s="2"/>
      <c r="L278" s="2"/>
      <c r="M278" s="4"/>
    </row>
    <row r="279" spans="1:13" s="5" customFormat="1" ht="24" customHeight="1" thickBot="1">
      <c r="A279" s="6">
        <v>46012</v>
      </c>
      <c r="B279" s="5" t="s">
        <v>61</v>
      </c>
      <c r="C279" s="5" t="s">
        <v>62</v>
      </c>
      <c r="D279" s="5" t="s">
        <v>36</v>
      </c>
      <c r="E279" s="7">
        <v>820745</v>
      </c>
      <c r="F279" s="3">
        <v>277.77777777777777</v>
      </c>
      <c r="G279" s="53">
        <v>8600</v>
      </c>
      <c r="H279" s="13">
        <v>-17759.539999999994</v>
      </c>
      <c r="I279" s="3">
        <v>30.96</v>
      </c>
      <c r="J279" s="2"/>
      <c r="K279" s="2"/>
      <c r="L279" s="2"/>
      <c r="M279" s="4"/>
    </row>
    <row r="280" spans="1:13" s="5" customFormat="1" ht="24" customHeight="1" thickBot="1">
      <c r="A280" s="6">
        <v>46012</v>
      </c>
      <c r="B280" s="5" t="s">
        <v>59</v>
      </c>
      <c r="C280" s="5" t="s">
        <v>11</v>
      </c>
      <c r="D280" s="5" t="s">
        <v>36</v>
      </c>
      <c r="E280" s="7">
        <v>231437</v>
      </c>
      <c r="F280" s="3">
        <v>69.999999999999986</v>
      </c>
      <c r="G280" s="53">
        <v>2167.1999999999998</v>
      </c>
      <c r="H280" s="13">
        <v>-19926.739999999994</v>
      </c>
      <c r="I280" s="3">
        <v>30.96</v>
      </c>
      <c r="J280" s="2"/>
      <c r="K280" s="2"/>
      <c r="L280" s="2"/>
      <c r="M280" s="4"/>
    </row>
    <row r="281" spans="1:13" s="5" customFormat="1" ht="24" customHeight="1" thickBot="1">
      <c r="A281" s="6">
        <v>46012</v>
      </c>
      <c r="B281" s="5" t="s">
        <v>44</v>
      </c>
      <c r="C281" s="5" t="s">
        <v>14</v>
      </c>
      <c r="D281" s="5" t="s">
        <v>36</v>
      </c>
      <c r="E281" s="7">
        <v>673720</v>
      </c>
      <c r="F281" s="3">
        <v>80</v>
      </c>
      <c r="G281" s="53">
        <v>2476.8000000000002</v>
      </c>
      <c r="H281" s="13">
        <v>-22403.539999999994</v>
      </c>
      <c r="I281" s="3">
        <v>30.96</v>
      </c>
      <c r="J281" s="2"/>
      <c r="K281" s="2"/>
      <c r="L281" s="2"/>
      <c r="M281" s="4"/>
    </row>
    <row r="282" spans="1:13" s="5" customFormat="1" ht="24" customHeight="1" thickBot="1">
      <c r="A282" s="6">
        <v>46012</v>
      </c>
      <c r="B282" s="5" t="s">
        <v>49</v>
      </c>
      <c r="C282" s="5" t="s">
        <v>6</v>
      </c>
      <c r="D282" s="5" t="s">
        <v>36</v>
      </c>
      <c r="E282" s="7">
        <v>165624</v>
      </c>
      <c r="F282" s="3">
        <v>61.999354005167959</v>
      </c>
      <c r="G282" s="53">
        <v>1919.5</v>
      </c>
      <c r="H282" s="13">
        <v>-24323.039999999994</v>
      </c>
      <c r="I282" s="3">
        <v>30.96</v>
      </c>
      <c r="J282" s="2"/>
      <c r="K282" s="2"/>
      <c r="L282" s="2"/>
      <c r="M282" s="4"/>
    </row>
    <row r="283" spans="1:13" s="5" customFormat="1" ht="24" customHeight="1" thickBot="1">
      <c r="A283" s="6">
        <v>46012</v>
      </c>
      <c r="B283" s="61" t="s">
        <v>46</v>
      </c>
      <c r="C283" s="5" t="s">
        <v>17</v>
      </c>
      <c r="D283" s="5" t="s">
        <v>34</v>
      </c>
      <c r="E283" s="7">
        <v>233972</v>
      </c>
      <c r="F283" s="3">
        <v>50</v>
      </c>
      <c r="G283" s="53">
        <v>1548</v>
      </c>
      <c r="H283" s="13">
        <v>-25871.039999999994</v>
      </c>
      <c r="I283" s="3">
        <v>30.96</v>
      </c>
      <c r="J283" s="2"/>
      <c r="K283" s="2"/>
      <c r="L283" s="2"/>
      <c r="M283" s="4"/>
    </row>
    <row r="284" spans="1:13" s="5" customFormat="1" ht="24" customHeight="1" thickBot="1">
      <c r="A284" s="6">
        <v>46012</v>
      </c>
      <c r="B284" s="5" t="s">
        <v>54</v>
      </c>
      <c r="C284" s="5" t="s">
        <v>16</v>
      </c>
      <c r="D284" s="5" t="s">
        <v>36</v>
      </c>
      <c r="E284" s="7">
        <v>230176</v>
      </c>
      <c r="F284" s="3">
        <v>100</v>
      </c>
      <c r="G284" s="53">
        <v>3096</v>
      </c>
      <c r="H284" s="13">
        <v>-28967.039999999994</v>
      </c>
      <c r="I284" s="3">
        <v>30.96</v>
      </c>
      <c r="J284" s="2"/>
      <c r="K284" s="2"/>
      <c r="L284" s="2"/>
      <c r="M284" s="4"/>
    </row>
    <row r="285" spans="1:13" s="5" customFormat="1" ht="24" customHeight="1" thickBot="1">
      <c r="A285" s="6">
        <v>46013</v>
      </c>
      <c r="B285" s="61" t="s">
        <v>43</v>
      </c>
      <c r="C285" s="61" t="s">
        <v>1</v>
      </c>
      <c r="D285" s="5" t="s">
        <v>34</v>
      </c>
      <c r="E285" s="7">
        <v>166012</v>
      </c>
      <c r="F285" s="3">
        <v>50</v>
      </c>
      <c r="G285" s="53">
        <v>1548</v>
      </c>
      <c r="H285" s="13">
        <v>-30515.039999999994</v>
      </c>
      <c r="I285" s="3">
        <v>30.96</v>
      </c>
      <c r="J285" s="2"/>
      <c r="K285" s="2"/>
      <c r="L285" s="2"/>
      <c r="M285" s="4"/>
    </row>
    <row r="286" spans="1:13" s="5" customFormat="1" ht="24" customHeight="1" thickBot="1">
      <c r="A286" s="6">
        <v>46013</v>
      </c>
      <c r="B286" s="5" t="s">
        <v>51</v>
      </c>
      <c r="C286" s="5" t="s">
        <v>3</v>
      </c>
      <c r="D286" s="5" t="s">
        <v>35</v>
      </c>
      <c r="E286" s="7">
        <v>300985</v>
      </c>
      <c r="F286" s="3">
        <v>50</v>
      </c>
      <c r="G286" s="53">
        <v>1548</v>
      </c>
      <c r="H286" s="13">
        <v>-32063.039999999994</v>
      </c>
      <c r="I286" s="3">
        <v>30.96</v>
      </c>
      <c r="J286" s="2"/>
      <c r="K286" s="2"/>
      <c r="L286" s="2"/>
      <c r="M286" s="4"/>
    </row>
    <row r="287" spans="1:13" s="5" customFormat="1" ht="24" customHeight="1" thickBot="1">
      <c r="A287" s="6">
        <v>46012</v>
      </c>
      <c r="B287" s="5" t="s">
        <v>50</v>
      </c>
      <c r="C287" s="5" t="s">
        <v>5</v>
      </c>
      <c r="D287" s="5" t="s">
        <v>34</v>
      </c>
      <c r="E287" s="7">
        <v>192668</v>
      </c>
      <c r="F287" s="3">
        <v>50</v>
      </c>
      <c r="G287" s="53">
        <v>1548</v>
      </c>
      <c r="H287" s="13">
        <v>-33611.039999999994</v>
      </c>
      <c r="I287" s="3">
        <v>30.96</v>
      </c>
      <c r="J287" s="2"/>
      <c r="K287" s="2"/>
      <c r="L287" s="2"/>
      <c r="M287" s="4"/>
    </row>
    <row r="288" spans="1:13" s="5" customFormat="1" ht="24" customHeight="1" thickBot="1">
      <c r="A288" s="6">
        <v>46013</v>
      </c>
      <c r="B288" s="14" t="s">
        <v>20</v>
      </c>
      <c r="C288" s="14" t="s">
        <v>20</v>
      </c>
      <c r="D288" s="14" t="s">
        <v>20</v>
      </c>
      <c r="E288" s="15" t="s">
        <v>65</v>
      </c>
      <c r="F288" s="3"/>
      <c r="G288" s="53">
        <v>-50000</v>
      </c>
      <c r="H288" s="13">
        <v>16388.960000000006</v>
      </c>
      <c r="I288" s="3">
        <v>30.96</v>
      </c>
      <c r="J288" s="2" t="s">
        <v>108</v>
      </c>
      <c r="K288" s="2"/>
      <c r="L288" s="2"/>
      <c r="M288" s="4"/>
    </row>
    <row r="289" spans="1:13" s="5" customFormat="1" ht="24" customHeight="1" thickBot="1">
      <c r="A289" s="6">
        <v>46013</v>
      </c>
      <c r="B289" s="14" t="s">
        <v>20</v>
      </c>
      <c r="C289" s="14" t="s">
        <v>20</v>
      </c>
      <c r="D289" s="14" t="s">
        <v>20</v>
      </c>
      <c r="E289" s="15" t="s">
        <v>65</v>
      </c>
      <c r="F289" s="3"/>
      <c r="G289" s="53">
        <v>-30000</v>
      </c>
      <c r="H289" s="13">
        <v>46388.960000000006</v>
      </c>
      <c r="I289" s="3">
        <v>30.96</v>
      </c>
      <c r="J289" s="2"/>
      <c r="K289" s="2"/>
      <c r="L289" s="2"/>
      <c r="M289" s="4"/>
    </row>
    <row r="290" spans="1:13" s="5" customFormat="1" ht="24" customHeight="1" thickBot="1">
      <c r="A290" s="6">
        <v>46013</v>
      </c>
      <c r="B290" s="5" t="s">
        <v>52</v>
      </c>
      <c r="C290" s="5" t="s">
        <v>4</v>
      </c>
      <c r="D290" s="5" t="s">
        <v>36</v>
      </c>
      <c r="E290" s="7">
        <v>168508</v>
      </c>
      <c r="F290" s="3">
        <v>50</v>
      </c>
      <c r="G290" s="53">
        <v>1548</v>
      </c>
      <c r="H290" s="13">
        <v>44840.960000000006</v>
      </c>
      <c r="I290" s="3">
        <v>30.96</v>
      </c>
      <c r="J290" s="2"/>
      <c r="K290" s="2"/>
      <c r="L290" s="2"/>
      <c r="M290" s="4"/>
    </row>
    <row r="291" spans="1:13" s="5" customFormat="1" ht="24" customHeight="1" thickBot="1">
      <c r="A291" s="6">
        <v>46013</v>
      </c>
      <c r="B291" s="5" t="s">
        <v>45</v>
      </c>
      <c r="C291" s="5" t="s">
        <v>7</v>
      </c>
      <c r="D291" s="5" t="s">
        <v>36</v>
      </c>
      <c r="E291" s="7">
        <v>171159</v>
      </c>
      <c r="F291" s="3">
        <v>98.998708010335918</v>
      </c>
      <c r="G291" s="53">
        <v>3065</v>
      </c>
      <c r="H291" s="13">
        <v>41775.960000000006</v>
      </c>
      <c r="I291" s="3">
        <v>30.96</v>
      </c>
      <c r="J291" s="2"/>
      <c r="K291" s="2"/>
      <c r="L291" s="2"/>
      <c r="M291" s="4"/>
    </row>
    <row r="292" spans="1:13" s="5" customFormat="1" ht="24" customHeight="1" thickBot="1">
      <c r="A292" s="6">
        <v>46013</v>
      </c>
      <c r="B292" s="5" t="s">
        <v>42</v>
      </c>
      <c r="C292" s="5" t="s">
        <v>32</v>
      </c>
      <c r="D292" s="5" t="s">
        <v>36</v>
      </c>
      <c r="E292" s="7">
        <v>270102</v>
      </c>
      <c r="F292" s="3">
        <v>50</v>
      </c>
      <c r="G292" s="53">
        <v>1548</v>
      </c>
      <c r="H292" s="13">
        <v>40227.960000000006</v>
      </c>
      <c r="I292" s="3">
        <v>30.96</v>
      </c>
      <c r="J292" s="2"/>
      <c r="K292" s="2"/>
      <c r="L292" s="2"/>
      <c r="M292" s="4"/>
    </row>
    <row r="293" spans="1:13" s="5" customFormat="1" ht="24" customHeight="1" thickBot="1">
      <c r="A293" s="6">
        <v>46013</v>
      </c>
      <c r="B293" s="5" t="s">
        <v>60</v>
      </c>
      <c r="C293" s="5" t="s">
        <v>2</v>
      </c>
      <c r="D293" s="5" t="s">
        <v>35</v>
      </c>
      <c r="E293" s="7">
        <v>144335</v>
      </c>
      <c r="F293" s="3">
        <v>50</v>
      </c>
      <c r="G293" s="53">
        <v>1548</v>
      </c>
      <c r="H293" s="13">
        <v>38679.960000000006</v>
      </c>
      <c r="I293" s="3">
        <v>30.96</v>
      </c>
      <c r="J293" s="2"/>
      <c r="K293" s="2"/>
      <c r="L293" s="2"/>
      <c r="M293" s="4"/>
    </row>
    <row r="294" spans="1:13" s="5" customFormat="1" ht="24" customHeight="1" thickBot="1">
      <c r="A294" s="6">
        <v>46013</v>
      </c>
      <c r="B294" s="5" t="s">
        <v>92</v>
      </c>
      <c r="C294" s="5" t="s">
        <v>8</v>
      </c>
      <c r="D294" s="5" t="s">
        <v>35</v>
      </c>
      <c r="E294" s="7">
        <v>28287</v>
      </c>
      <c r="F294" s="3">
        <v>59.999999999999993</v>
      </c>
      <c r="G294" s="53">
        <v>1857.6</v>
      </c>
      <c r="H294" s="13">
        <v>36822.360000000008</v>
      </c>
      <c r="I294" s="3">
        <v>30.96</v>
      </c>
      <c r="J294" s="2"/>
      <c r="K294" s="2"/>
      <c r="L294" s="2"/>
      <c r="M294" s="4"/>
    </row>
    <row r="295" spans="1:13" s="5" customFormat="1" ht="24" customHeight="1" thickBot="1">
      <c r="A295" s="6">
        <v>46013</v>
      </c>
      <c r="B295" s="61" t="s">
        <v>58</v>
      </c>
      <c r="C295" s="5" t="s">
        <v>9</v>
      </c>
      <c r="D295" s="5" t="s">
        <v>36</v>
      </c>
      <c r="E295" s="7">
        <v>196419</v>
      </c>
      <c r="F295" s="3">
        <v>50</v>
      </c>
      <c r="G295" s="53">
        <v>1548</v>
      </c>
      <c r="H295" s="13">
        <v>35274.360000000008</v>
      </c>
      <c r="I295" s="3">
        <v>30.96</v>
      </c>
      <c r="J295" s="2"/>
      <c r="K295" s="2"/>
      <c r="L295" s="2"/>
      <c r="M295" s="4"/>
    </row>
    <row r="296" spans="1:13" s="5" customFormat="1" ht="24" customHeight="1" thickBot="1">
      <c r="A296" s="6">
        <v>46013</v>
      </c>
      <c r="B296" s="5" t="s">
        <v>59</v>
      </c>
      <c r="C296" s="5" t="s">
        <v>11</v>
      </c>
      <c r="D296" s="5" t="s">
        <v>36</v>
      </c>
      <c r="E296" s="7">
        <v>231614</v>
      </c>
      <c r="F296" s="3">
        <v>50</v>
      </c>
      <c r="G296" s="53">
        <v>1548</v>
      </c>
      <c r="H296" s="13">
        <v>33726.360000000008</v>
      </c>
      <c r="I296" s="3">
        <v>30.96</v>
      </c>
      <c r="J296" s="2"/>
      <c r="K296" s="2"/>
      <c r="L296" s="2"/>
      <c r="M296" s="4"/>
    </row>
    <row r="297" spans="1:13" s="5" customFormat="1" ht="24" customHeight="1" thickBot="1">
      <c r="A297" s="6">
        <v>46013</v>
      </c>
      <c r="B297" s="5" t="s">
        <v>44</v>
      </c>
      <c r="C297" s="5" t="s">
        <v>14</v>
      </c>
      <c r="D297" s="5" t="s">
        <v>36</v>
      </c>
      <c r="E297" s="7">
        <v>673847</v>
      </c>
      <c r="F297" s="3">
        <v>59.999999999999993</v>
      </c>
      <c r="G297" s="53">
        <v>1857.6</v>
      </c>
      <c r="H297" s="13">
        <v>31868.760000000009</v>
      </c>
      <c r="I297" s="3">
        <v>30.96</v>
      </c>
      <c r="J297" s="2"/>
      <c r="K297" s="2"/>
      <c r="L297" s="2"/>
      <c r="M297" s="4"/>
    </row>
    <row r="298" spans="1:13" s="5" customFormat="1" ht="24" customHeight="1" thickBot="1">
      <c r="A298" s="6">
        <v>46013</v>
      </c>
      <c r="B298" s="5" t="s">
        <v>49</v>
      </c>
      <c r="C298" s="5" t="s">
        <v>6</v>
      </c>
      <c r="D298" s="5" t="s">
        <v>35</v>
      </c>
      <c r="E298" s="7">
        <v>165830</v>
      </c>
      <c r="F298" s="3">
        <v>50</v>
      </c>
      <c r="G298" s="53">
        <v>1548</v>
      </c>
      <c r="H298" s="13">
        <v>30320.760000000009</v>
      </c>
      <c r="I298" s="3">
        <v>30.96</v>
      </c>
      <c r="J298" s="2"/>
      <c r="K298" s="2"/>
      <c r="L298" s="2"/>
      <c r="M298" s="4"/>
    </row>
    <row r="299" spans="1:13" s="5" customFormat="1" ht="24" customHeight="1" thickBot="1">
      <c r="A299" s="6">
        <v>46013</v>
      </c>
      <c r="B299" s="5" t="s">
        <v>50</v>
      </c>
      <c r="C299" s="5" t="s">
        <v>5</v>
      </c>
      <c r="D299" s="5" t="s">
        <v>34</v>
      </c>
      <c r="E299" s="7">
        <v>192819</v>
      </c>
      <c r="F299" s="3">
        <v>90</v>
      </c>
      <c r="G299" s="53">
        <v>2786.4</v>
      </c>
      <c r="H299" s="13">
        <v>27534.360000000008</v>
      </c>
      <c r="I299" s="3">
        <v>30.96</v>
      </c>
      <c r="J299" s="2"/>
      <c r="K299" s="2"/>
      <c r="L299" s="2"/>
      <c r="M299" s="4"/>
    </row>
    <row r="300" spans="1:13" s="5" customFormat="1" ht="24" customHeight="1" thickBot="1">
      <c r="A300" s="6">
        <v>46013</v>
      </c>
      <c r="B300" s="61" t="s">
        <v>43</v>
      </c>
      <c r="C300" s="61" t="s">
        <v>1</v>
      </c>
      <c r="D300" s="5" t="s">
        <v>34</v>
      </c>
      <c r="E300" s="7">
        <v>166153</v>
      </c>
      <c r="F300" s="3">
        <v>85</v>
      </c>
      <c r="G300" s="53">
        <v>2631.6</v>
      </c>
      <c r="H300" s="13">
        <v>24902.760000000009</v>
      </c>
      <c r="I300" s="3">
        <v>30.96</v>
      </c>
      <c r="J300" s="2"/>
      <c r="K300" s="2"/>
      <c r="L300" s="2"/>
      <c r="M300" s="4"/>
    </row>
    <row r="301" spans="1:13" s="5" customFormat="1" ht="24" customHeight="1" thickBot="1">
      <c r="A301" s="6">
        <v>46013</v>
      </c>
      <c r="B301" s="5" t="s">
        <v>54</v>
      </c>
      <c r="C301" s="5" t="s">
        <v>16</v>
      </c>
      <c r="D301" s="5" t="s">
        <v>36</v>
      </c>
      <c r="E301" s="7">
        <v>230515</v>
      </c>
      <c r="F301" s="3">
        <v>100</v>
      </c>
      <c r="G301" s="53">
        <v>3096</v>
      </c>
      <c r="H301" s="13">
        <v>21806.760000000009</v>
      </c>
      <c r="I301" s="3">
        <v>30.96</v>
      </c>
      <c r="J301" s="2"/>
      <c r="K301" s="2"/>
      <c r="L301" s="2"/>
      <c r="M301" s="4"/>
    </row>
    <row r="302" spans="1:13" s="5" customFormat="1" ht="24" customHeight="1" thickBot="1">
      <c r="A302" s="6">
        <v>46014</v>
      </c>
      <c r="B302" s="5" t="s">
        <v>59</v>
      </c>
      <c r="C302" s="5" t="s">
        <v>11</v>
      </c>
      <c r="D302" s="5" t="s">
        <v>36</v>
      </c>
      <c r="E302" s="7">
        <v>231786</v>
      </c>
      <c r="F302" s="3">
        <v>50</v>
      </c>
      <c r="G302" s="53">
        <v>1548</v>
      </c>
      <c r="H302" s="13">
        <v>20258.760000000009</v>
      </c>
      <c r="I302" s="3">
        <v>30.96</v>
      </c>
      <c r="J302" s="2"/>
      <c r="K302" s="2"/>
      <c r="L302" s="2"/>
      <c r="M302" s="4"/>
    </row>
    <row r="303" spans="1:13" s="5" customFormat="1" ht="24" customHeight="1" thickBot="1">
      <c r="A303" s="6">
        <v>46014</v>
      </c>
      <c r="B303" s="5" t="s">
        <v>52</v>
      </c>
      <c r="C303" s="5" t="s">
        <v>4</v>
      </c>
      <c r="D303" s="5" t="s">
        <v>35</v>
      </c>
      <c r="E303" s="7">
        <v>168660</v>
      </c>
      <c r="F303" s="3">
        <v>50</v>
      </c>
      <c r="G303" s="53">
        <v>1548</v>
      </c>
      <c r="H303" s="13">
        <v>18710.760000000009</v>
      </c>
      <c r="I303" s="3">
        <v>30.96</v>
      </c>
      <c r="J303" s="2"/>
      <c r="K303" s="2"/>
      <c r="L303" s="2"/>
      <c r="M303" s="4"/>
    </row>
    <row r="304" spans="1:13" s="5" customFormat="1" ht="24" customHeight="1" thickBot="1">
      <c r="A304" s="6">
        <v>46014</v>
      </c>
      <c r="B304" s="5" t="s">
        <v>49</v>
      </c>
      <c r="C304" s="5" t="s">
        <v>6</v>
      </c>
      <c r="D304" s="5" t="s">
        <v>36</v>
      </c>
      <c r="E304" s="7">
        <v>165964</v>
      </c>
      <c r="F304" s="3">
        <v>50</v>
      </c>
      <c r="G304" s="53">
        <v>1548</v>
      </c>
      <c r="H304" s="13">
        <v>17162.760000000009</v>
      </c>
      <c r="I304" s="3">
        <v>30.96</v>
      </c>
      <c r="J304" s="2"/>
      <c r="K304" s="2"/>
      <c r="L304" s="2"/>
      <c r="M304" s="4"/>
    </row>
    <row r="305" spans="1:13" s="5" customFormat="1" ht="24" customHeight="1" thickBot="1">
      <c r="A305" s="6">
        <v>46014</v>
      </c>
      <c r="B305" s="5" t="s">
        <v>57</v>
      </c>
      <c r="C305" s="5" t="s">
        <v>12</v>
      </c>
      <c r="D305" s="5" t="s">
        <v>35</v>
      </c>
      <c r="E305" s="7">
        <v>166896</v>
      </c>
      <c r="F305" s="3">
        <v>50</v>
      </c>
      <c r="G305" s="53">
        <v>1548</v>
      </c>
      <c r="H305" s="13">
        <v>15614.760000000009</v>
      </c>
      <c r="I305" s="3">
        <v>30.96</v>
      </c>
      <c r="J305" s="2"/>
      <c r="K305" s="2"/>
      <c r="L305" s="2"/>
      <c r="M305" s="4"/>
    </row>
    <row r="306" spans="1:13" s="5" customFormat="1" ht="24" customHeight="1" thickBot="1">
      <c r="A306" s="6">
        <v>46014</v>
      </c>
      <c r="B306" s="5" t="s">
        <v>55</v>
      </c>
      <c r="C306" s="5" t="s">
        <v>15</v>
      </c>
      <c r="D306" s="5" t="s">
        <v>35</v>
      </c>
      <c r="E306" s="7">
        <v>276860</v>
      </c>
      <c r="F306" s="3">
        <v>50</v>
      </c>
      <c r="G306" s="53">
        <v>1548</v>
      </c>
      <c r="H306" s="13">
        <v>14066.760000000009</v>
      </c>
      <c r="I306" s="3">
        <v>30.96</v>
      </c>
      <c r="J306" s="2"/>
      <c r="K306" s="2"/>
      <c r="L306" s="2"/>
      <c r="M306" s="4"/>
    </row>
    <row r="307" spans="1:13" s="5" customFormat="1" ht="24" customHeight="1" thickBot="1">
      <c r="A307" s="6">
        <v>46014</v>
      </c>
      <c r="B307" s="5" t="s">
        <v>51</v>
      </c>
      <c r="C307" s="5" t="s">
        <v>3</v>
      </c>
      <c r="D307" s="5" t="s">
        <v>34</v>
      </c>
      <c r="E307" s="7">
        <v>301116</v>
      </c>
      <c r="F307" s="3">
        <v>50</v>
      </c>
      <c r="G307" s="53">
        <v>1548</v>
      </c>
      <c r="H307" s="13">
        <v>12518.760000000009</v>
      </c>
      <c r="I307" s="3">
        <v>30.96</v>
      </c>
      <c r="J307" s="2"/>
      <c r="K307" s="2"/>
      <c r="L307" s="2"/>
      <c r="M307" s="4"/>
    </row>
    <row r="308" spans="1:13" s="5" customFormat="1" ht="24" customHeight="1" thickBot="1">
      <c r="A308" s="6">
        <v>46014</v>
      </c>
      <c r="B308" s="5" t="s">
        <v>42</v>
      </c>
      <c r="C308" s="5" t="s">
        <v>32</v>
      </c>
      <c r="D308" s="5" t="s">
        <v>36</v>
      </c>
      <c r="E308" s="7">
        <v>270217</v>
      </c>
      <c r="F308" s="3">
        <v>50</v>
      </c>
      <c r="G308" s="53">
        <v>1548</v>
      </c>
      <c r="H308" s="13">
        <v>10970.760000000009</v>
      </c>
      <c r="I308" s="3">
        <v>30.96</v>
      </c>
      <c r="J308" s="2"/>
      <c r="K308" s="2"/>
      <c r="L308" s="2"/>
      <c r="M308" s="4"/>
    </row>
    <row r="309" spans="1:13" s="5" customFormat="1" ht="24" customHeight="1" thickBot="1">
      <c r="A309" s="6">
        <v>46014</v>
      </c>
      <c r="B309" s="5" t="s">
        <v>53</v>
      </c>
      <c r="C309" s="5" t="s">
        <v>10</v>
      </c>
      <c r="D309" s="5" t="s">
        <v>34</v>
      </c>
      <c r="E309" s="7">
        <v>290215</v>
      </c>
      <c r="F309" s="3">
        <v>50</v>
      </c>
      <c r="G309" s="53">
        <v>1548</v>
      </c>
      <c r="H309" s="13">
        <v>9422.7600000000093</v>
      </c>
      <c r="I309" s="3">
        <v>30.96</v>
      </c>
      <c r="J309" s="2"/>
      <c r="K309" s="2"/>
      <c r="L309" s="2"/>
      <c r="M309" s="4"/>
    </row>
    <row r="310" spans="1:13" s="5" customFormat="1" ht="24" customHeight="1" thickBot="1">
      <c r="A310" s="6">
        <v>46014</v>
      </c>
      <c r="B310" s="61" t="s">
        <v>46</v>
      </c>
      <c r="C310" s="5" t="s">
        <v>17</v>
      </c>
      <c r="D310" s="5" t="s">
        <v>35</v>
      </c>
      <c r="E310" s="7">
        <v>234179</v>
      </c>
      <c r="F310" s="3">
        <v>59.999999999999993</v>
      </c>
      <c r="G310" s="53">
        <v>1857.6</v>
      </c>
      <c r="H310" s="13">
        <v>7565.1600000000089</v>
      </c>
      <c r="I310" s="3">
        <v>30.96</v>
      </c>
      <c r="J310" s="2"/>
      <c r="K310" s="2"/>
      <c r="L310" s="2"/>
      <c r="M310" s="4"/>
    </row>
    <row r="311" spans="1:13" s="5" customFormat="1" ht="24" customHeight="1" thickBot="1">
      <c r="A311" s="6">
        <v>46014</v>
      </c>
      <c r="B311" s="5" t="s">
        <v>44</v>
      </c>
      <c r="C311" s="61" t="s">
        <v>13</v>
      </c>
      <c r="D311" s="5" t="s">
        <v>36</v>
      </c>
      <c r="E311" s="7">
        <v>673946</v>
      </c>
      <c r="F311" s="3">
        <v>59.999999999999993</v>
      </c>
      <c r="G311" s="53">
        <v>1857.6</v>
      </c>
      <c r="H311" s="13">
        <v>5707.5600000000086</v>
      </c>
      <c r="I311" s="3">
        <v>30.96</v>
      </c>
      <c r="J311" s="2"/>
      <c r="K311" s="2"/>
      <c r="L311" s="2"/>
      <c r="M311" s="4"/>
    </row>
    <row r="312" spans="1:13" s="5" customFormat="1" ht="24" customHeight="1" thickBot="1">
      <c r="A312" s="6">
        <v>46014</v>
      </c>
      <c r="B312" s="5" t="s">
        <v>60</v>
      </c>
      <c r="C312" s="5" t="s">
        <v>2</v>
      </c>
      <c r="D312" s="5" t="s">
        <v>35</v>
      </c>
      <c r="E312" s="7">
        <v>144444</v>
      </c>
      <c r="F312" s="3">
        <v>50</v>
      </c>
      <c r="G312" s="53">
        <v>1548</v>
      </c>
      <c r="H312" s="13">
        <v>4159.5600000000086</v>
      </c>
      <c r="I312" s="3">
        <v>30.96</v>
      </c>
      <c r="J312" s="2"/>
      <c r="K312" s="2"/>
      <c r="L312" s="2"/>
      <c r="M312" s="4"/>
    </row>
    <row r="313" spans="1:13" s="5" customFormat="1" ht="24" customHeight="1" thickBot="1">
      <c r="A313" s="6">
        <v>46014</v>
      </c>
      <c r="B313" s="5" t="s">
        <v>92</v>
      </c>
      <c r="C313" s="5" t="s">
        <v>8</v>
      </c>
      <c r="D313" s="5" t="s">
        <v>34</v>
      </c>
      <c r="E313" s="7">
        <v>28415</v>
      </c>
      <c r="F313" s="3">
        <v>59.999999999999993</v>
      </c>
      <c r="G313" s="53">
        <v>1857.6</v>
      </c>
      <c r="H313" s="13">
        <v>2301.9600000000087</v>
      </c>
      <c r="I313" s="3">
        <v>30.96</v>
      </c>
      <c r="J313" s="2"/>
      <c r="K313" s="2"/>
      <c r="L313" s="2"/>
      <c r="M313" s="4"/>
    </row>
    <row r="314" spans="1:13" s="5" customFormat="1" ht="24" customHeight="1" thickBot="1">
      <c r="A314" s="6">
        <v>46014</v>
      </c>
      <c r="B314" s="61" t="s">
        <v>58</v>
      </c>
      <c r="C314" s="5" t="s">
        <v>9</v>
      </c>
      <c r="D314" s="5" t="s">
        <v>36</v>
      </c>
      <c r="E314" s="7">
        <v>196595</v>
      </c>
      <c r="F314" s="3">
        <v>50</v>
      </c>
      <c r="G314" s="53">
        <v>1548</v>
      </c>
      <c r="H314" s="13">
        <v>753.96000000000868</v>
      </c>
      <c r="I314" s="3">
        <v>30.96</v>
      </c>
      <c r="J314" s="2"/>
      <c r="K314" s="2"/>
      <c r="L314" s="2"/>
      <c r="M314" s="4"/>
    </row>
    <row r="315" spans="1:13" s="5" customFormat="1" ht="24" customHeight="1" thickBot="1">
      <c r="A315" s="6">
        <v>46014</v>
      </c>
      <c r="B315" s="5" t="s">
        <v>59</v>
      </c>
      <c r="C315" s="5" t="s">
        <v>11</v>
      </c>
      <c r="D315" s="5" t="s">
        <v>36</v>
      </c>
      <c r="E315" s="7">
        <v>231937</v>
      </c>
      <c r="F315" s="3">
        <v>50</v>
      </c>
      <c r="G315" s="53">
        <v>1548</v>
      </c>
      <c r="H315" s="13">
        <v>-794.03999999999132</v>
      </c>
      <c r="I315" s="3">
        <v>30.96</v>
      </c>
      <c r="J315" s="2"/>
      <c r="K315" s="2"/>
      <c r="L315" s="2"/>
      <c r="M315" s="4"/>
    </row>
    <row r="316" spans="1:13" s="5" customFormat="1" ht="24" customHeight="1" thickBot="1">
      <c r="A316" s="6">
        <v>46014</v>
      </c>
      <c r="B316" s="61" t="s">
        <v>58</v>
      </c>
      <c r="C316" s="5" t="s">
        <v>5</v>
      </c>
      <c r="D316" s="5" t="s">
        <v>34</v>
      </c>
      <c r="E316" s="7">
        <v>196715</v>
      </c>
      <c r="F316" s="3">
        <v>90</v>
      </c>
      <c r="G316" s="53">
        <v>2786.4</v>
      </c>
      <c r="H316" s="13">
        <v>-3580.4399999999914</v>
      </c>
      <c r="I316" s="3">
        <v>30.96</v>
      </c>
      <c r="J316" s="2"/>
      <c r="K316" s="2"/>
      <c r="L316" s="2"/>
      <c r="M316" s="4"/>
    </row>
    <row r="317" spans="1:13" s="5" customFormat="1" ht="24" customHeight="1" thickBot="1">
      <c r="A317" s="6">
        <v>46014</v>
      </c>
      <c r="B317" s="61" t="s">
        <v>43</v>
      </c>
      <c r="C317" s="61" t="s">
        <v>1</v>
      </c>
      <c r="D317" s="5" t="s">
        <v>34</v>
      </c>
      <c r="E317" s="7">
        <v>166470</v>
      </c>
      <c r="F317" s="3">
        <v>86.001291989664082</v>
      </c>
      <c r="G317" s="53">
        <v>2662.6</v>
      </c>
      <c r="H317" s="13">
        <v>-6243.0399999999918</v>
      </c>
      <c r="I317" s="3">
        <v>30.96</v>
      </c>
      <c r="J317" s="2"/>
      <c r="K317" s="2"/>
      <c r="L317" s="2"/>
      <c r="M317" s="4"/>
    </row>
    <row r="318" spans="1:13" s="5" customFormat="1" ht="24" customHeight="1" thickBot="1">
      <c r="A318" s="6">
        <v>46015</v>
      </c>
      <c r="B318" s="5" t="s">
        <v>52</v>
      </c>
      <c r="C318" s="5" t="s">
        <v>4</v>
      </c>
      <c r="D318" s="5" t="s">
        <v>34</v>
      </c>
      <c r="E318" s="7">
        <v>168801</v>
      </c>
      <c r="F318" s="3">
        <v>50</v>
      </c>
      <c r="G318" s="53">
        <v>1548</v>
      </c>
      <c r="H318" s="13">
        <v>-7791.0399999999918</v>
      </c>
      <c r="I318" s="3">
        <v>30.96</v>
      </c>
      <c r="J318" s="2"/>
      <c r="K318" s="2"/>
      <c r="L318" s="2"/>
      <c r="M318" s="4"/>
    </row>
    <row r="319" spans="1:13" s="5" customFormat="1" ht="24" customHeight="1" thickBot="1">
      <c r="A319" s="6">
        <v>46015</v>
      </c>
      <c r="B319" s="5" t="s">
        <v>53</v>
      </c>
      <c r="C319" s="5" t="s">
        <v>10</v>
      </c>
      <c r="D319" s="5" t="s">
        <v>34</v>
      </c>
      <c r="E319" s="7">
        <v>290361</v>
      </c>
      <c r="F319" s="3">
        <v>50</v>
      </c>
      <c r="G319" s="53">
        <v>1523</v>
      </c>
      <c r="H319" s="13">
        <v>-9314.0399999999918</v>
      </c>
      <c r="I319" s="3">
        <v>30.46</v>
      </c>
      <c r="J319" s="2"/>
      <c r="K319" s="2"/>
      <c r="L319" s="2"/>
      <c r="M319" s="4"/>
    </row>
    <row r="320" spans="1:13" s="5" customFormat="1" ht="24" customHeight="1" thickBot="1">
      <c r="A320" s="6">
        <v>46015</v>
      </c>
      <c r="B320" s="5" t="s">
        <v>54</v>
      </c>
      <c r="C320" s="5" t="s">
        <v>16</v>
      </c>
      <c r="D320" s="5" t="s">
        <v>36</v>
      </c>
      <c r="E320" s="7">
        <v>230826</v>
      </c>
      <c r="F320" s="3">
        <v>50</v>
      </c>
      <c r="G320" s="53">
        <v>1523</v>
      </c>
      <c r="H320" s="13">
        <v>-10837.039999999992</v>
      </c>
      <c r="I320" s="3">
        <v>30.46</v>
      </c>
      <c r="J320" s="2"/>
      <c r="K320" s="2"/>
      <c r="L320" s="2"/>
      <c r="M320" s="4"/>
    </row>
    <row r="321" spans="1:13" s="5" customFormat="1" ht="24" customHeight="1" thickBot="1">
      <c r="A321" s="6">
        <v>46015</v>
      </c>
      <c r="B321" s="5" t="s">
        <v>39</v>
      </c>
      <c r="C321" s="5" t="s">
        <v>40</v>
      </c>
      <c r="D321" s="5" t="s">
        <v>34</v>
      </c>
      <c r="E321" s="7" t="s">
        <v>20</v>
      </c>
      <c r="F321" s="3">
        <v>16.414970453053183</v>
      </c>
      <c r="G321" s="53">
        <v>500</v>
      </c>
      <c r="H321" s="13">
        <v>-11337.039999999992</v>
      </c>
      <c r="I321" s="3">
        <v>30.46</v>
      </c>
      <c r="J321" s="2"/>
      <c r="K321" s="2"/>
      <c r="L321" s="2"/>
      <c r="M321" s="4"/>
    </row>
    <row r="322" spans="1:13" s="5" customFormat="1" ht="24" customHeight="1" thickBot="1">
      <c r="A322" s="6">
        <v>46015</v>
      </c>
      <c r="B322" s="5" t="s">
        <v>45</v>
      </c>
      <c r="C322" s="5" t="s">
        <v>7</v>
      </c>
      <c r="D322" s="5" t="s">
        <v>36</v>
      </c>
      <c r="E322" s="7">
        <v>171449</v>
      </c>
      <c r="F322" s="3">
        <v>113.99868680236375</v>
      </c>
      <c r="G322" s="53">
        <v>3472.4</v>
      </c>
      <c r="H322" s="13">
        <v>-14809.439999999991</v>
      </c>
      <c r="I322" s="3">
        <v>30.46</v>
      </c>
      <c r="J322" s="2"/>
      <c r="K322" s="2"/>
      <c r="L322" s="2"/>
      <c r="M322" s="4"/>
    </row>
    <row r="323" spans="1:13" s="5" customFormat="1" ht="24" customHeight="1" thickBot="1">
      <c r="A323" s="6">
        <v>46015</v>
      </c>
      <c r="B323" s="5" t="s">
        <v>42</v>
      </c>
      <c r="C323" s="5" t="s">
        <v>32</v>
      </c>
      <c r="D323" s="5" t="s">
        <v>34</v>
      </c>
      <c r="E323" s="7">
        <v>270341</v>
      </c>
      <c r="F323" s="3">
        <v>50</v>
      </c>
      <c r="G323" s="53">
        <v>1523</v>
      </c>
      <c r="H323" s="13">
        <v>-16332.439999999991</v>
      </c>
      <c r="I323" s="3">
        <v>30.46</v>
      </c>
      <c r="J323" s="2"/>
      <c r="K323" s="2"/>
      <c r="L323" s="2"/>
      <c r="M323" s="4"/>
    </row>
    <row r="324" spans="1:13" s="5" customFormat="1" ht="24" customHeight="1" thickBot="1">
      <c r="A324" s="6">
        <v>46015</v>
      </c>
      <c r="B324" s="5" t="s">
        <v>48</v>
      </c>
      <c r="C324" s="5" t="s">
        <v>17</v>
      </c>
      <c r="D324" s="5" t="s">
        <v>36</v>
      </c>
      <c r="E324" s="7">
        <v>155319</v>
      </c>
      <c r="F324" s="3">
        <v>50</v>
      </c>
      <c r="G324" s="53">
        <v>1523</v>
      </c>
      <c r="H324" s="13">
        <v>-17855.439999999991</v>
      </c>
      <c r="I324" s="3">
        <v>30.46</v>
      </c>
      <c r="J324" s="2"/>
      <c r="K324" s="2"/>
      <c r="L324" s="2"/>
      <c r="M324" s="4"/>
    </row>
    <row r="325" spans="1:13" s="5" customFormat="1" ht="24" customHeight="1" thickBot="1">
      <c r="A325" s="6">
        <v>46015</v>
      </c>
      <c r="B325" s="5" t="s">
        <v>60</v>
      </c>
      <c r="C325" s="5" t="s">
        <v>2</v>
      </c>
      <c r="D325" s="5" t="s">
        <v>35</v>
      </c>
      <c r="E325" s="7">
        <v>144584</v>
      </c>
      <c r="F325" s="3">
        <v>50</v>
      </c>
      <c r="G325" s="53">
        <v>1523</v>
      </c>
      <c r="H325" s="13">
        <v>-19378.439999999991</v>
      </c>
      <c r="I325" s="3">
        <v>30.46</v>
      </c>
      <c r="J325" s="2"/>
      <c r="K325" s="2"/>
      <c r="L325" s="2"/>
      <c r="M325" s="4"/>
    </row>
    <row r="326" spans="1:13" s="5" customFormat="1" ht="24" customHeight="1" thickBot="1">
      <c r="A326" s="6">
        <v>46015</v>
      </c>
      <c r="B326" s="5" t="s">
        <v>57</v>
      </c>
      <c r="C326" s="5" t="s">
        <v>12</v>
      </c>
      <c r="D326" s="5" t="s">
        <v>35</v>
      </c>
      <c r="E326" s="7">
        <v>167034</v>
      </c>
      <c r="F326" s="3">
        <v>50</v>
      </c>
      <c r="G326" s="53">
        <v>1523</v>
      </c>
      <c r="H326" s="13">
        <v>-20901.439999999991</v>
      </c>
      <c r="I326" s="3">
        <v>30.46</v>
      </c>
      <c r="J326" s="2"/>
      <c r="K326" s="2"/>
      <c r="L326" s="2"/>
      <c r="M326" s="4"/>
    </row>
    <row r="327" spans="1:13" s="5" customFormat="1" ht="24" customHeight="1" thickBot="1">
      <c r="A327" s="6">
        <v>46015</v>
      </c>
      <c r="B327" s="61" t="s">
        <v>63</v>
      </c>
      <c r="C327" s="61" t="s">
        <v>13</v>
      </c>
      <c r="D327" s="5" t="s">
        <v>36</v>
      </c>
      <c r="E327" s="7">
        <v>249430</v>
      </c>
      <c r="F327" s="3">
        <v>139.99999999999997</v>
      </c>
      <c r="G327" s="53">
        <v>4264.3999999999996</v>
      </c>
      <c r="H327" s="13">
        <v>-25165.839999999989</v>
      </c>
      <c r="I327" s="3">
        <v>30.46</v>
      </c>
      <c r="J327" s="2"/>
      <c r="K327" s="2"/>
      <c r="L327" s="2"/>
      <c r="M327" s="4"/>
    </row>
    <row r="328" spans="1:13" s="5" customFormat="1" ht="24" customHeight="1" thickBot="1">
      <c r="A328" s="6">
        <v>46015</v>
      </c>
      <c r="B328" s="5" t="s">
        <v>49</v>
      </c>
      <c r="C328" s="5" t="s">
        <v>6</v>
      </c>
      <c r="D328" s="5" t="s">
        <v>36</v>
      </c>
      <c r="E328" s="7">
        <v>166180</v>
      </c>
      <c r="F328" s="3">
        <v>50</v>
      </c>
      <c r="G328" s="53">
        <v>1523</v>
      </c>
      <c r="H328" s="13">
        <v>-26688.839999999989</v>
      </c>
      <c r="I328" s="3">
        <v>30.46</v>
      </c>
      <c r="J328" s="2"/>
      <c r="K328" s="2"/>
      <c r="L328" s="2"/>
      <c r="M328" s="4"/>
    </row>
    <row r="329" spans="1:13" s="5" customFormat="1" ht="24" customHeight="1" thickBot="1">
      <c r="A329" s="6">
        <v>46015</v>
      </c>
      <c r="B329" s="5" t="s">
        <v>51</v>
      </c>
      <c r="C329" s="5" t="s">
        <v>3</v>
      </c>
      <c r="D329" s="5" t="s">
        <v>34</v>
      </c>
      <c r="E329" s="7">
        <v>301264</v>
      </c>
      <c r="F329" s="3">
        <v>50</v>
      </c>
      <c r="G329" s="53">
        <v>1523</v>
      </c>
      <c r="H329" s="13">
        <v>-28211.839999999989</v>
      </c>
      <c r="I329" s="3">
        <v>30.46</v>
      </c>
      <c r="J329" s="2"/>
      <c r="K329" s="2"/>
      <c r="L329" s="2"/>
      <c r="M329" s="4"/>
    </row>
    <row r="330" spans="1:13" s="5" customFormat="1" ht="24" customHeight="1" thickBot="1">
      <c r="A330" s="6">
        <v>46015</v>
      </c>
      <c r="B330" s="5" t="s">
        <v>41</v>
      </c>
      <c r="C330" s="5" t="s">
        <v>9</v>
      </c>
      <c r="D330" s="5" t="s">
        <v>34</v>
      </c>
      <c r="E330" s="7">
        <v>918540</v>
      </c>
      <c r="F330" s="3">
        <v>59.999999999999993</v>
      </c>
      <c r="G330" s="53">
        <v>1827.6</v>
      </c>
      <c r="H330" s="13">
        <v>-30039.439999999988</v>
      </c>
      <c r="I330" s="3">
        <v>30.46</v>
      </c>
      <c r="J330" s="2"/>
      <c r="K330" s="2"/>
      <c r="L330" s="2"/>
      <c r="M330" s="4"/>
    </row>
    <row r="331" spans="1:13" s="5" customFormat="1" ht="24" customHeight="1" thickBot="1">
      <c r="A331" s="6">
        <v>46015</v>
      </c>
      <c r="B331" s="5" t="s">
        <v>59</v>
      </c>
      <c r="C331" s="5" t="s">
        <v>11</v>
      </c>
      <c r="D331" s="5" t="s">
        <v>36</v>
      </c>
      <c r="E331" s="7">
        <v>232110</v>
      </c>
      <c r="F331" s="3">
        <v>50</v>
      </c>
      <c r="G331" s="53">
        <v>1523</v>
      </c>
      <c r="H331" s="13">
        <v>-31562.439999999988</v>
      </c>
      <c r="I331" s="3">
        <v>30.46</v>
      </c>
      <c r="J331" s="2"/>
      <c r="K331" s="2"/>
      <c r="L331" s="2"/>
      <c r="M331" s="4"/>
    </row>
    <row r="332" spans="1:13" s="5" customFormat="1" ht="24" customHeight="1" thickBot="1">
      <c r="A332" s="6">
        <v>46015</v>
      </c>
      <c r="B332" s="5" t="s">
        <v>55</v>
      </c>
      <c r="C332" s="5" t="s">
        <v>15</v>
      </c>
      <c r="D332" s="5" t="s">
        <v>34</v>
      </c>
      <c r="E332" s="7">
        <v>277037</v>
      </c>
      <c r="F332" s="3">
        <v>50</v>
      </c>
      <c r="G332" s="53">
        <v>1523</v>
      </c>
      <c r="H332" s="13">
        <v>-33085.439999999988</v>
      </c>
      <c r="I332" s="3">
        <v>30.46</v>
      </c>
      <c r="J332" s="2"/>
      <c r="K332" s="2"/>
      <c r="L332" s="2"/>
      <c r="M332" s="4"/>
    </row>
    <row r="333" spans="1:13" s="5" customFormat="1" ht="24" customHeight="1" thickBot="1">
      <c r="A333" s="6">
        <v>46015</v>
      </c>
      <c r="B333" s="5" t="s">
        <v>50</v>
      </c>
      <c r="C333" s="5" t="s">
        <v>5</v>
      </c>
      <c r="D333" s="5" t="s">
        <v>34</v>
      </c>
      <c r="E333" s="7">
        <v>193154</v>
      </c>
      <c r="F333" s="3">
        <v>90</v>
      </c>
      <c r="G333" s="53">
        <v>2741.4</v>
      </c>
      <c r="H333" s="13">
        <v>-35826.839999999989</v>
      </c>
      <c r="I333" s="3">
        <v>30.46</v>
      </c>
      <c r="J333" s="2"/>
      <c r="K333" s="2"/>
      <c r="L333" s="2"/>
      <c r="M333" s="4"/>
    </row>
    <row r="334" spans="1:13" s="5" customFormat="1" ht="24" customHeight="1" thickBot="1">
      <c r="A334" s="6">
        <v>46015</v>
      </c>
      <c r="B334" s="61" t="s">
        <v>43</v>
      </c>
      <c r="C334" s="61" t="s">
        <v>1</v>
      </c>
      <c r="D334" s="5" t="s">
        <v>34</v>
      </c>
      <c r="E334" s="7">
        <v>166786</v>
      </c>
      <c r="F334" s="3">
        <v>80</v>
      </c>
      <c r="G334" s="53">
        <v>2436.8000000000002</v>
      </c>
      <c r="H334" s="13">
        <v>-38263.639999999992</v>
      </c>
      <c r="I334" s="3">
        <v>30.46</v>
      </c>
      <c r="J334" s="2"/>
      <c r="K334" s="2"/>
      <c r="L334" s="2"/>
      <c r="M334" s="4"/>
    </row>
    <row r="335" spans="1:13" s="5" customFormat="1" ht="24" customHeight="1" thickBot="1">
      <c r="A335" s="6">
        <v>46015</v>
      </c>
      <c r="B335" s="5" t="s">
        <v>52</v>
      </c>
      <c r="C335" s="5" t="s">
        <v>4</v>
      </c>
      <c r="D335" s="5" t="s">
        <v>36</v>
      </c>
      <c r="E335" s="7">
        <v>169003</v>
      </c>
      <c r="F335" s="3">
        <v>69.999999999999986</v>
      </c>
      <c r="G335" s="53">
        <v>2132.1999999999998</v>
      </c>
      <c r="H335" s="13">
        <v>-40395.839999999989</v>
      </c>
      <c r="I335" s="3">
        <v>30.46</v>
      </c>
      <c r="J335" s="2"/>
      <c r="K335" s="2"/>
      <c r="L335" s="2"/>
      <c r="M335" s="4"/>
    </row>
    <row r="336" spans="1:13" s="5" customFormat="1" ht="24" customHeight="1" thickBot="1">
      <c r="A336" s="6">
        <v>46016</v>
      </c>
      <c r="B336" s="5" t="s">
        <v>54</v>
      </c>
      <c r="C336" s="5" t="s">
        <v>16</v>
      </c>
      <c r="D336" s="5" t="s">
        <v>36</v>
      </c>
      <c r="E336" s="7">
        <v>230979</v>
      </c>
      <c r="F336" s="3">
        <v>100</v>
      </c>
      <c r="G336" s="53">
        <v>3046</v>
      </c>
      <c r="H336" s="13">
        <v>-43441.839999999989</v>
      </c>
      <c r="I336" s="3">
        <v>30.46</v>
      </c>
      <c r="J336" s="2"/>
      <c r="K336" s="2"/>
      <c r="L336" s="2"/>
      <c r="M336" s="4"/>
    </row>
    <row r="337" spans="1:13" s="5" customFormat="1" ht="24" customHeight="1" thickBot="1">
      <c r="A337" s="6">
        <v>46016</v>
      </c>
      <c r="B337" s="14" t="s">
        <v>20</v>
      </c>
      <c r="C337" s="14" t="s">
        <v>20</v>
      </c>
      <c r="D337" s="14" t="s">
        <v>20</v>
      </c>
      <c r="E337" s="15" t="s">
        <v>65</v>
      </c>
      <c r="F337" s="3"/>
      <c r="G337" s="53">
        <v>-50000</v>
      </c>
      <c r="H337" s="13">
        <v>6558.1600000000108</v>
      </c>
      <c r="I337" s="3">
        <v>30.46</v>
      </c>
      <c r="J337" s="2" t="s">
        <v>109</v>
      </c>
      <c r="K337" s="2"/>
      <c r="L337" s="2"/>
      <c r="M337" s="4"/>
    </row>
    <row r="338" spans="1:13" s="5" customFormat="1" ht="24" customHeight="1" thickBot="1">
      <c r="A338" s="6">
        <v>46016</v>
      </c>
      <c r="B338" s="14" t="s">
        <v>20</v>
      </c>
      <c r="C338" s="14" t="s">
        <v>20</v>
      </c>
      <c r="D338" s="14" t="s">
        <v>20</v>
      </c>
      <c r="E338" s="15" t="s">
        <v>65</v>
      </c>
      <c r="F338" s="3"/>
      <c r="G338" s="53">
        <v>-20000</v>
      </c>
      <c r="H338" s="13">
        <v>26558.160000000011</v>
      </c>
      <c r="I338" s="3">
        <v>30.46</v>
      </c>
      <c r="J338" s="2"/>
      <c r="K338" s="2"/>
      <c r="L338" s="2"/>
      <c r="M338" s="4"/>
    </row>
    <row r="339" spans="1:13" s="5" customFormat="1" ht="24" customHeight="1" thickBot="1">
      <c r="A339" s="6">
        <v>46015</v>
      </c>
      <c r="B339" s="5" t="s">
        <v>46</v>
      </c>
      <c r="C339" s="61" t="s">
        <v>47</v>
      </c>
      <c r="D339" s="5" t="s">
        <v>34</v>
      </c>
      <c r="E339" s="7">
        <v>234382</v>
      </c>
      <c r="F339" s="3">
        <v>50</v>
      </c>
      <c r="G339" s="53">
        <v>1523</v>
      </c>
      <c r="H339" s="13">
        <v>25035.160000000011</v>
      </c>
      <c r="I339" s="3">
        <v>30.46</v>
      </c>
      <c r="J339" s="2"/>
      <c r="K339" s="2"/>
      <c r="L339" s="2"/>
      <c r="M339" s="4"/>
    </row>
    <row r="340" spans="1:13" s="5" customFormat="1" ht="24" customHeight="1" thickBot="1">
      <c r="A340" s="6">
        <v>46016</v>
      </c>
      <c r="B340" s="5" t="s">
        <v>51</v>
      </c>
      <c r="C340" s="5" t="s">
        <v>3</v>
      </c>
      <c r="D340" s="5" t="s">
        <v>34</v>
      </c>
      <c r="E340" s="7">
        <v>301367</v>
      </c>
      <c r="F340" s="3">
        <v>50</v>
      </c>
      <c r="G340" s="53">
        <v>1523</v>
      </c>
      <c r="H340" s="13">
        <v>23512.160000000011</v>
      </c>
      <c r="I340" s="3">
        <v>30.46</v>
      </c>
      <c r="J340" s="2"/>
      <c r="K340" s="2"/>
      <c r="L340" s="2"/>
      <c r="M340" s="4"/>
    </row>
    <row r="341" spans="1:13" s="5" customFormat="1" ht="24" customHeight="1" thickBot="1">
      <c r="A341" s="6">
        <v>46016</v>
      </c>
      <c r="B341" s="5" t="s">
        <v>57</v>
      </c>
      <c r="C341" s="5" t="s">
        <v>12</v>
      </c>
      <c r="D341" s="5" t="s">
        <v>36</v>
      </c>
      <c r="E341" s="7">
        <v>167175</v>
      </c>
      <c r="F341" s="3">
        <v>50</v>
      </c>
      <c r="G341" s="53">
        <v>1523</v>
      </c>
      <c r="H341" s="13">
        <v>21989.160000000011</v>
      </c>
      <c r="I341" s="3">
        <v>30.46</v>
      </c>
      <c r="J341" s="2"/>
      <c r="K341" s="2"/>
      <c r="L341" s="2"/>
      <c r="M341" s="4"/>
    </row>
    <row r="342" spans="1:13" s="5" customFormat="1" ht="24" customHeight="1" thickBot="1">
      <c r="A342" s="6">
        <v>46016</v>
      </c>
      <c r="B342" s="5" t="s">
        <v>49</v>
      </c>
      <c r="C342" s="5" t="s">
        <v>6</v>
      </c>
      <c r="D342" s="5" t="s">
        <v>36</v>
      </c>
      <c r="E342" s="7">
        <v>166329</v>
      </c>
      <c r="F342" s="3">
        <v>50</v>
      </c>
      <c r="G342" s="53">
        <v>1523</v>
      </c>
      <c r="H342" s="13">
        <v>20466.160000000011</v>
      </c>
      <c r="I342" s="3">
        <v>30.46</v>
      </c>
      <c r="J342" s="2"/>
      <c r="K342" s="2"/>
      <c r="L342" s="2"/>
      <c r="M342" s="4"/>
    </row>
    <row r="343" spans="1:13" s="5" customFormat="1" ht="24" customHeight="1" thickBot="1">
      <c r="A343" s="6">
        <v>46016</v>
      </c>
      <c r="B343" s="5" t="s">
        <v>42</v>
      </c>
      <c r="C343" s="5" t="s">
        <v>32</v>
      </c>
      <c r="D343" s="5" t="s">
        <v>36</v>
      </c>
      <c r="E343" s="7">
        <v>270529</v>
      </c>
      <c r="F343" s="3">
        <v>50</v>
      </c>
      <c r="G343" s="53">
        <v>1523</v>
      </c>
      <c r="H343" s="13">
        <v>18943.160000000011</v>
      </c>
      <c r="I343" s="3">
        <v>30.46</v>
      </c>
      <c r="J343" s="2"/>
      <c r="K343" s="2"/>
      <c r="L343" s="2"/>
      <c r="M343" s="4"/>
    </row>
    <row r="344" spans="1:13" s="5" customFormat="1" ht="24" customHeight="1" thickBot="1">
      <c r="A344" s="6">
        <v>46016</v>
      </c>
      <c r="B344" s="5" t="s">
        <v>41</v>
      </c>
      <c r="C344" s="5" t="s">
        <v>9</v>
      </c>
      <c r="D344" s="5" t="s">
        <v>34</v>
      </c>
      <c r="E344" s="7">
        <v>918695</v>
      </c>
      <c r="F344" s="3">
        <v>59.999999999999993</v>
      </c>
      <c r="G344" s="53">
        <v>1827.6</v>
      </c>
      <c r="H344" s="13">
        <v>17115.560000000012</v>
      </c>
      <c r="I344" s="3">
        <v>30.46</v>
      </c>
      <c r="J344" s="2"/>
      <c r="K344" s="2"/>
      <c r="L344" s="2"/>
      <c r="M344" s="4"/>
    </row>
    <row r="345" spans="1:13" s="5" customFormat="1" ht="24" customHeight="1" thickBot="1">
      <c r="A345" s="6">
        <v>46016</v>
      </c>
      <c r="B345" s="5" t="s">
        <v>39</v>
      </c>
      <c r="C345" s="5" t="s">
        <v>40</v>
      </c>
      <c r="D345" s="5" t="s">
        <v>34</v>
      </c>
      <c r="E345" s="7" t="s">
        <v>20</v>
      </c>
      <c r="F345" s="3">
        <v>16.414970453053183</v>
      </c>
      <c r="G345" s="53">
        <v>500</v>
      </c>
      <c r="H345" s="13">
        <v>16615.560000000012</v>
      </c>
      <c r="I345" s="3">
        <v>30.46</v>
      </c>
      <c r="J345" s="2"/>
      <c r="K345" s="2"/>
      <c r="L345" s="2"/>
      <c r="M345" s="4"/>
    </row>
    <row r="346" spans="1:13" s="5" customFormat="1" ht="24" customHeight="1" thickBot="1">
      <c r="A346" s="6">
        <v>46016</v>
      </c>
      <c r="B346" s="5" t="s">
        <v>53</v>
      </c>
      <c r="C346" s="5" t="s">
        <v>10</v>
      </c>
      <c r="D346" s="5" t="s">
        <v>36</v>
      </c>
      <c r="E346" s="7">
        <v>290516</v>
      </c>
      <c r="F346" s="3">
        <v>50</v>
      </c>
      <c r="G346" s="53">
        <v>1523</v>
      </c>
      <c r="H346" s="13">
        <v>15092.560000000012</v>
      </c>
      <c r="I346" s="3">
        <v>30.46</v>
      </c>
      <c r="J346" s="2"/>
      <c r="K346" s="2"/>
      <c r="L346" s="2"/>
      <c r="M346" s="4"/>
    </row>
    <row r="347" spans="1:13" s="5" customFormat="1" ht="24" customHeight="1" thickBot="1">
      <c r="A347" s="6">
        <v>46016</v>
      </c>
      <c r="B347" s="5" t="s">
        <v>48</v>
      </c>
      <c r="C347" s="5" t="s">
        <v>17</v>
      </c>
      <c r="D347" s="5" t="s">
        <v>36</v>
      </c>
      <c r="E347" s="7">
        <v>155453</v>
      </c>
      <c r="F347" s="3">
        <v>50</v>
      </c>
      <c r="G347" s="53">
        <v>1523</v>
      </c>
      <c r="H347" s="13">
        <v>13569.560000000012</v>
      </c>
      <c r="I347" s="3">
        <v>30.46</v>
      </c>
      <c r="J347" s="2"/>
      <c r="K347" s="2"/>
      <c r="L347" s="2"/>
      <c r="M347" s="4"/>
    </row>
    <row r="348" spans="1:13" s="5" customFormat="1" ht="24" customHeight="1" thickBot="1">
      <c r="A348" s="6">
        <v>46016</v>
      </c>
      <c r="B348" s="5" t="s">
        <v>55</v>
      </c>
      <c r="C348" s="5" t="s">
        <v>15</v>
      </c>
      <c r="D348" s="5" t="s">
        <v>36</v>
      </c>
      <c r="E348" s="7">
        <v>277199</v>
      </c>
      <c r="F348" s="3">
        <v>50</v>
      </c>
      <c r="G348" s="53">
        <v>1523</v>
      </c>
      <c r="H348" s="13">
        <v>12046.560000000012</v>
      </c>
      <c r="I348" s="3">
        <v>30.46</v>
      </c>
      <c r="J348" s="2"/>
      <c r="K348" s="2"/>
      <c r="L348" s="2"/>
      <c r="M348" s="4"/>
    </row>
    <row r="349" spans="1:13" s="5" customFormat="1" ht="24" customHeight="1" thickBot="1">
      <c r="A349" s="6">
        <v>46016</v>
      </c>
      <c r="B349" s="5" t="s">
        <v>50</v>
      </c>
      <c r="C349" s="5" t="s">
        <v>5</v>
      </c>
      <c r="D349" s="5" t="s">
        <v>36</v>
      </c>
      <c r="E349" s="7">
        <v>193489</v>
      </c>
      <c r="F349" s="3">
        <v>50</v>
      </c>
      <c r="G349" s="53">
        <v>1523</v>
      </c>
      <c r="H349" s="13">
        <v>10523.560000000012</v>
      </c>
      <c r="I349" s="3">
        <v>30.46</v>
      </c>
      <c r="J349" s="2"/>
      <c r="K349" s="2"/>
      <c r="L349" s="2"/>
      <c r="M349" s="4"/>
    </row>
    <row r="350" spans="1:13" s="5" customFormat="1" ht="24" customHeight="1" thickBot="1">
      <c r="A350" s="6">
        <v>46016</v>
      </c>
      <c r="B350" s="61" t="s">
        <v>43</v>
      </c>
      <c r="C350" s="61" t="s">
        <v>1</v>
      </c>
      <c r="D350" s="5" t="s">
        <v>34</v>
      </c>
      <c r="E350" s="7">
        <v>167103</v>
      </c>
      <c r="F350" s="3">
        <v>90</v>
      </c>
      <c r="G350" s="53">
        <v>2741.4</v>
      </c>
      <c r="H350" s="13">
        <v>7782.1600000000126</v>
      </c>
      <c r="I350" s="3">
        <v>30.46</v>
      </c>
      <c r="J350" s="2"/>
      <c r="K350" s="2"/>
      <c r="L350" s="2"/>
      <c r="M350" s="4"/>
    </row>
    <row r="351" spans="1:13" s="5" customFormat="1" ht="24" customHeight="1" thickBot="1">
      <c r="A351" s="6">
        <v>46017</v>
      </c>
      <c r="B351" s="5" t="s">
        <v>45</v>
      </c>
      <c r="C351" s="5" t="s">
        <v>7</v>
      </c>
      <c r="D351" s="5" t="s">
        <v>36</v>
      </c>
      <c r="E351" s="7">
        <v>171721</v>
      </c>
      <c r="F351" s="3">
        <v>121.99934340118187</v>
      </c>
      <c r="G351" s="53">
        <v>3716.1</v>
      </c>
      <c r="H351" s="13">
        <v>4066.0600000000127</v>
      </c>
      <c r="I351" s="3">
        <v>30.46</v>
      </c>
      <c r="J351" s="2"/>
      <c r="K351" s="2"/>
      <c r="L351" s="2"/>
      <c r="M351" s="4"/>
    </row>
    <row r="352" spans="1:13" s="5" customFormat="1" ht="24" customHeight="1" thickBot="1">
      <c r="A352" s="6">
        <v>46017</v>
      </c>
      <c r="B352" s="5" t="s">
        <v>53</v>
      </c>
      <c r="C352" s="5" t="s">
        <v>10</v>
      </c>
      <c r="D352" s="5" t="s">
        <v>34</v>
      </c>
      <c r="E352" s="7">
        <v>290655</v>
      </c>
      <c r="F352" s="3">
        <v>50</v>
      </c>
      <c r="G352" s="53">
        <v>1523</v>
      </c>
      <c r="H352" s="13">
        <v>2543.0600000000127</v>
      </c>
      <c r="I352" s="3">
        <v>30.46</v>
      </c>
      <c r="J352" s="2"/>
      <c r="K352" s="2"/>
      <c r="L352" s="2"/>
      <c r="M352" s="4"/>
    </row>
    <row r="353" spans="1:13" s="5" customFormat="1" ht="24" customHeight="1" thickBot="1">
      <c r="A353" s="6">
        <v>46017</v>
      </c>
      <c r="B353" s="5" t="s">
        <v>42</v>
      </c>
      <c r="C353" s="5" t="s">
        <v>32</v>
      </c>
      <c r="D353" s="5" t="s">
        <v>34</v>
      </c>
      <c r="E353" s="7">
        <v>270698</v>
      </c>
      <c r="F353" s="3">
        <v>50</v>
      </c>
      <c r="G353" s="53">
        <v>1523</v>
      </c>
      <c r="H353" s="13">
        <v>1020.0600000000127</v>
      </c>
      <c r="I353" s="3">
        <v>30.46</v>
      </c>
      <c r="J353" s="2"/>
      <c r="K353" s="2"/>
      <c r="L353" s="2"/>
      <c r="M353" s="4"/>
    </row>
    <row r="354" spans="1:13" s="5" customFormat="1" ht="24" customHeight="1" thickBot="1">
      <c r="A354" s="6">
        <v>46017</v>
      </c>
      <c r="B354" s="5" t="s">
        <v>52</v>
      </c>
      <c r="C354" s="5" t="s">
        <v>4</v>
      </c>
      <c r="D354" s="5" t="s">
        <v>34</v>
      </c>
      <c r="E354" s="7">
        <v>169230</v>
      </c>
      <c r="F354" s="3">
        <v>50</v>
      </c>
      <c r="G354" s="53">
        <v>1523</v>
      </c>
      <c r="H354" s="13">
        <v>-502.93999999998732</v>
      </c>
      <c r="I354" s="3">
        <v>30.46</v>
      </c>
      <c r="J354" s="2"/>
      <c r="K354" s="2"/>
      <c r="L354" s="2"/>
      <c r="M354" s="4"/>
    </row>
    <row r="355" spans="1:13" s="5" customFormat="1" ht="24" customHeight="1" thickBot="1">
      <c r="A355" s="6">
        <v>46017</v>
      </c>
      <c r="B355" s="5" t="s">
        <v>54</v>
      </c>
      <c r="C355" s="5" t="s">
        <v>16</v>
      </c>
      <c r="D355" s="5" t="s">
        <v>34</v>
      </c>
      <c r="E355" s="7">
        <v>231397</v>
      </c>
      <c r="F355" s="3">
        <v>50</v>
      </c>
      <c r="G355" s="53">
        <v>1523</v>
      </c>
      <c r="H355" s="13">
        <v>-2025.9399999999873</v>
      </c>
      <c r="I355" s="3">
        <v>30.46</v>
      </c>
      <c r="J355" s="2"/>
      <c r="K355" s="2"/>
      <c r="L355" s="2"/>
      <c r="M355" s="4"/>
    </row>
    <row r="356" spans="1:13" s="5" customFormat="1" ht="24" customHeight="1" thickBot="1">
      <c r="A356" s="6">
        <v>46017</v>
      </c>
      <c r="B356" s="5" t="s">
        <v>49</v>
      </c>
      <c r="C356" s="5" t="s">
        <v>6</v>
      </c>
      <c r="D356" s="5" t="s">
        <v>36</v>
      </c>
      <c r="E356" s="7">
        <v>166467</v>
      </c>
      <c r="F356" s="3">
        <v>50</v>
      </c>
      <c r="G356" s="53">
        <v>1523</v>
      </c>
      <c r="H356" s="13">
        <v>-3548.9399999999873</v>
      </c>
      <c r="I356" s="3">
        <v>30.46</v>
      </c>
      <c r="J356" s="2"/>
      <c r="K356" s="2"/>
      <c r="L356" s="2"/>
      <c r="M356" s="4"/>
    </row>
    <row r="357" spans="1:13" s="5" customFormat="1" ht="24" customHeight="1" thickBot="1">
      <c r="A357" s="6">
        <v>46017</v>
      </c>
      <c r="B357" s="5" t="s">
        <v>51</v>
      </c>
      <c r="C357" s="5" t="s">
        <v>3</v>
      </c>
      <c r="D357" s="5" t="s">
        <v>34</v>
      </c>
      <c r="E357" s="7">
        <v>301480</v>
      </c>
      <c r="F357" s="3">
        <v>50</v>
      </c>
      <c r="G357" s="53">
        <v>1523</v>
      </c>
      <c r="H357" s="13">
        <v>-5071.9399999999878</v>
      </c>
      <c r="I357" s="3">
        <v>30.46</v>
      </c>
      <c r="J357" s="2"/>
      <c r="K357" s="2"/>
      <c r="L357" s="2"/>
      <c r="M357" s="4"/>
    </row>
    <row r="358" spans="1:13" s="5" customFormat="1" ht="24" customHeight="1" thickBot="1">
      <c r="A358" s="6">
        <v>46017</v>
      </c>
      <c r="B358" s="5" t="s">
        <v>50</v>
      </c>
      <c r="C358" s="5" t="s">
        <v>5</v>
      </c>
      <c r="D358" s="5" t="s">
        <v>36</v>
      </c>
      <c r="E358" s="7">
        <v>193569</v>
      </c>
      <c r="F358" s="3">
        <v>50</v>
      </c>
      <c r="G358" s="53">
        <v>1523</v>
      </c>
      <c r="H358" s="13">
        <v>-6594.9399999999878</v>
      </c>
      <c r="I358" s="3">
        <v>30.46</v>
      </c>
      <c r="J358" s="2"/>
      <c r="K358" s="2"/>
      <c r="L358" s="2"/>
      <c r="M358" s="4"/>
    </row>
    <row r="359" spans="1:13" s="5" customFormat="1" ht="24" customHeight="1" thickBot="1">
      <c r="A359" s="6">
        <v>46017</v>
      </c>
      <c r="B359" s="5" t="s">
        <v>59</v>
      </c>
      <c r="C359" s="5" t="s">
        <v>11</v>
      </c>
      <c r="D359" s="5" t="s">
        <v>36</v>
      </c>
      <c r="E359" s="7">
        <v>232393</v>
      </c>
      <c r="F359" s="3">
        <v>50</v>
      </c>
      <c r="G359" s="53">
        <v>1523</v>
      </c>
      <c r="H359" s="13">
        <v>-8117.9399999999878</v>
      </c>
      <c r="I359" s="3">
        <v>30.46</v>
      </c>
      <c r="J359" s="2"/>
      <c r="K359" s="2"/>
      <c r="L359" s="2"/>
      <c r="M359" s="4"/>
    </row>
    <row r="360" spans="1:13" s="5" customFormat="1" ht="24" customHeight="1" thickBot="1">
      <c r="A360" s="6">
        <v>46017</v>
      </c>
      <c r="B360" s="5" t="s">
        <v>48</v>
      </c>
      <c r="C360" s="5" t="s">
        <v>17</v>
      </c>
      <c r="D360" s="5" t="s">
        <v>35</v>
      </c>
      <c r="E360" s="7">
        <v>155606</v>
      </c>
      <c r="F360" s="3">
        <v>50</v>
      </c>
      <c r="G360" s="53">
        <v>1523</v>
      </c>
      <c r="H360" s="13">
        <v>-9640.9399999999878</v>
      </c>
      <c r="I360" s="3">
        <v>30.46</v>
      </c>
      <c r="J360" s="2"/>
      <c r="K360" s="2"/>
      <c r="L360" s="2"/>
      <c r="M360" s="4"/>
    </row>
    <row r="361" spans="1:13" s="5" customFormat="1" ht="24" customHeight="1" thickBot="1">
      <c r="A361" s="6">
        <v>46017</v>
      </c>
      <c r="B361" s="5" t="s">
        <v>46</v>
      </c>
      <c r="C361" s="61" t="s">
        <v>47</v>
      </c>
      <c r="D361" s="5" t="s">
        <v>34</v>
      </c>
      <c r="E361" s="7">
        <v>234514</v>
      </c>
      <c r="F361" s="3">
        <v>50</v>
      </c>
      <c r="G361" s="53">
        <v>1523</v>
      </c>
      <c r="H361" s="13">
        <v>-11163.939999999988</v>
      </c>
      <c r="I361" s="3">
        <v>30.46</v>
      </c>
      <c r="J361" s="2"/>
      <c r="K361" s="2"/>
      <c r="L361" s="2"/>
      <c r="M361" s="4"/>
    </row>
    <row r="362" spans="1:13" s="5" customFormat="1" ht="24" customHeight="1" thickBot="1">
      <c r="A362" s="6">
        <v>46017</v>
      </c>
      <c r="B362" s="5" t="s">
        <v>39</v>
      </c>
      <c r="C362" s="5" t="s">
        <v>40</v>
      </c>
      <c r="D362" s="5" t="s">
        <v>34</v>
      </c>
      <c r="E362" s="7" t="s">
        <v>20</v>
      </c>
      <c r="F362" s="3">
        <v>16.414970453053183</v>
      </c>
      <c r="G362" s="53">
        <v>500</v>
      </c>
      <c r="H362" s="13">
        <v>-11663.939999999988</v>
      </c>
      <c r="I362" s="3">
        <v>30.46</v>
      </c>
      <c r="J362" s="2"/>
      <c r="K362" s="2"/>
      <c r="L362" s="2"/>
      <c r="M362" s="4"/>
    </row>
    <row r="363" spans="1:13" s="5" customFormat="1" ht="24" customHeight="1" thickBot="1">
      <c r="A363" s="6">
        <v>46017</v>
      </c>
      <c r="B363" s="61" t="s">
        <v>56</v>
      </c>
      <c r="C363" s="5" t="s">
        <v>8</v>
      </c>
      <c r="D363" s="5" t="s">
        <v>34</v>
      </c>
      <c r="E363" s="7">
        <v>292867</v>
      </c>
      <c r="F363" s="3">
        <v>20</v>
      </c>
      <c r="G363" s="53">
        <v>609.20000000000005</v>
      </c>
      <c r="H363" s="13">
        <v>-12273.139999999989</v>
      </c>
      <c r="I363" s="3">
        <v>30.46</v>
      </c>
      <c r="J363" s="2"/>
      <c r="K363" s="2"/>
      <c r="L363" s="2"/>
      <c r="M363" s="4"/>
    </row>
    <row r="364" spans="1:13" s="5" customFormat="1" ht="24" customHeight="1" thickBot="1">
      <c r="A364" s="6">
        <v>46017</v>
      </c>
      <c r="B364" s="5" t="s">
        <v>41</v>
      </c>
      <c r="C364" s="5" t="s">
        <v>9</v>
      </c>
      <c r="D364" s="5" t="s">
        <v>34</v>
      </c>
      <c r="E364" s="7">
        <v>918861</v>
      </c>
      <c r="F364" s="3">
        <v>20</v>
      </c>
      <c r="G364" s="53">
        <v>609.20000000000005</v>
      </c>
      <c r="H364" s="13">
        <v>-12882.339999999989</v>
      </c>
      <c r="I364" s="3">
        <v>30.46</v>
      </c>
      <c r="J364" s="2"/>
      <c r="K364" s="2"/>
      <c r="L364" s="2"/>
      <c r="M364" s="4"/>
    </row>
    <row r="365" spans="1:13" s="5" customFormat="1" ht="24" customHeight="1" thickBot="1">
      <c r="A365" s="6">
        <v>46017</v>
      </c>
      <c r="B365" s="5" t="s">
        <v>52</v>
      </c>
      <c r="C365" s="5" t="s">
        <v>4</v>
      </c>
      <c r="D365" s="5" t="s">
        <v>34</v>
      </c>
      <c r="E365" s="7">
        <v>169379</v>
      </c>
      <c r="F365" s="3">
        <v>50</v>
      </c>
      <c r="G365" s="53">
        <v>1523</v>
      </c>
      <c r="H365" s="13">
        <v>-14405.339999999989</v>
      </c>
      <c r="I365" s="3">
        <v>30.46</v>
      </c>
      <c r="J365" s="2"/>
      <c r="K365" s="2"/>
      <c r="L365" s="2"/>
      <c r="M365" s="4"/>
    </row>
    <row r="366" spans="1:13" s="5" customFormat="1" ht="24" customHeight="1" thickBot="1">
      <c r="A366" s="6">
        <v>46018</v>
      </c>
      <c r="B366" s="5" t="s">
        <v>42</v>
      </c>
      <c r="C366" s="5" t="s">
        <v>32</v>
      </c>
      <c r="D366" s="5" t="s">
        <v>36</v>
      </c>
      <c r="E366" s="7">
        <v>270813</v>
      </c>
      <c r="F366" s="3">
        <v>50</v>
      </c>
      <c r="G366" s="53">
        <v>1523</v>
      </c>
      <c r="H366" s="13">
        <v>-15928.339999999989</v>
      </c>
      <c r="I366" s="3">
        <v>30.46</v>
      </c>
      <c r="J366" s="2"/>
      <c r="K366" s="2"/>
      <c r="L366" s="2"/>
      <c r="M366" s="4"/>
    </row>
    <row r="367" spans="1:13" s="5" customFormat="1" ht="24" customHeight="1" thickBot="1">
      <c r="A367" s="6">
        <v>46018</v>
      </c>
      <c r="B367" s="5" t="s">
        <v>41</v>
      </c>
      <c r="C367" s="5" t="s">
        <v>9</v>
      </c>
      <c r="D367" s="5" t="s">
        <v>34</v>
      </c>
      <c r="E367" s="7">
        <v>918904</v>
      </c>
      <c r="F367" s="3">
        <v>59.999999999999993</v>
      </c>
      <c r="G367" s="53">
        <v>1827.6</v>
      </c>
      <c r="H367" s="13">
        <v>-17755.939999999988</v>
      </c>
      <c r="I367" s="3">
        <v>30.46</v>
      </c>
      <c r="J367" s="2"/>
      <c r="K367" s="2"/>
      <c r="L367" s="2"/>
      <c r="M367" s="4"/>
    </row>
    <row r="368" spans="1:13" s="5" customFormat="1" ht="24" customHeight="1" thickBot="1">
      <c r="A368" s="6">
        <v>46018</v>
      </c>
      <c r="B368" s="5" t="s">
        <v>48</v>
      </c>
      <c r="C368" s="5" t="s">
        <v>17</v>
      </c>
      <c r="D368" s="5" t="s">
        <v>36</v>
      </c>
      <c r="E368" s="7">
        <v>155756</v>
      </c>
      <c r="F368" s="3">
        <v>50</v>
      </c>
      <c r="G368" s="53">
        <v>1523</v>
      </c>
      <c r="H368" s="13">
        <v>-19278.939999999988</v>
      </c>
      <c r="I368" s="3">
        <v>30.46</v>
      </c>
      <c r="J368" s="2"/>
      <c r="K368" s="2"/>
      <c r="L368" s="2"/>
      <c r="M368" s="4"/>
    </row>
    <row r="369" spans="1:13" s="5" customFormat="1" ht="24" customHeight="1" thickBot="1">
      <c r="A369" s="6">
        <v>46018</v>
      </c>
      <c r="B369" s="14" t="s">
        <v>20</v>
      </c>
      <c r="C369" s="14" t="s">
        <v>20</v>
      </c>
      <c r="D369" s="14" t="s">
        <v>20</v>
      </c>
      <c r="E369" s="15" t="s">
        <v>65</v>
      </c>
      <c r="F369" s="3"/>
      <c r="G369" s="53">
        <v>-40000</v>
      </c>
      <c r="H369" s="13">
        <v>20721.060000000012</v>
      </c>
      <c r="I369" s="3">
        <v>30.46</v>
      </c>
      <c r="J369" s="2" t="s">
        <v>110</v>
      </c>
      <c r="K369" s="2"/>
      <c r="L369" s="2"/>
      <c r="M369" s="4"/>
    </row>
    <row r="370" spans="1:13" s="5" customFormat="1" ht="24" customHeight="1" thickBot="1">
      <c r="A370" s="6">
        <v>46018</v>
      </c>
      <c r="B370" s="5" t="s">
        <v>54</v>
      </c>
      <c r="C370" s="5" t="s">
        <v>16</v>
      </c>
      <c r="D370" s="5" t="s">
        <v>36</v>
      </c>
      <c r="E370" s="7">
        <v>231536</v>
      </c>
      <c r="F370" s="3">
        <v>50</v>
      </c>
      <c r="G370" s="53">
        <v>1523</v>
      </c>
      <c r="H370" s="13">
        <v>19198.060000000012</v>
      </c>
      <c r="I370" s="3">
        <v>30.46</v>
      </c>
      <c r="J370" s="2"/>
      <c r="K370" s="2"/>
      <c r="L370" s="2"/>
      <c r="M370" s="4"/>
    </row>
    <row r="371" spans="1:13" s="5" customFormat="1" ht="24" customHeight="1" thickBot="1">
      <c r="A371" s="6">
        <v>46018</v>
      </c>
      <c r="B371" s="5" t="s">
        <v>50</v>
      </c>
      <c r="C371" s="5" t="s">
        <v>5</v>
      </c>
      <c r="D371" s="5" t="s">
        <v>36</v>
      </c>
      <c r="E371" s="7">
        <v>193723</v>
      </c>
      <c r="F371" s="3">
        <v>50</v>
      </c>
      <c r="G371" s="53">
        <v>1523</v>
      </c>
      <c r="H371" s="13">
        <v>17675.060000000012</v>
      </c>
      <c r="I371" s="3">
        <v>30.46</v>
      </c>
      <c r="J371" s="2"/>
      <c r="K371" s="2"/>
      <c r="L371" s="2"/>
      <c r="M371" s="4"/>
    </row>
    <row r="372" spans="1:13" s="5" customFormat="1" ht="24" customHeight="1" thickBot="1">
      <c r="A372" s="6">
        <v>46018</v>
      </c>
      <c r="B372" s="5" t="s">
        <v>44</v>
      </c>
      <c r="C372" s="61" t="s">
        <v>13</v>
      </c>
      <c r="D372" s="5" t="s">
        <v>36</v>
      </c>
      <c r="E372" s="7">
        <v>674281</v>
      </c>
      <c r="F372" s="3">
        <v>59.999999999999993</v>
      </c>
      <c r="G372" s="53">
        <v>1827.6</v>
      </c>
      <c r="H372" s="13">
        <v>15847.460000000012</v>
      </c>
      <c r="I372" s="3">
        <v>30.46</v>
      </c>
      <c r="J372" s="2"/>
      <c r="K372" s="2"/>
      <c r="L372" s="2"/>
      <c r="M372" s="4"/>
    </row>
    <row r="373" spans="1:13" s="5" customFormat="1" ht="24" customHeight="1" thickBot="1">
      <c r="A373" s="6">
        <v>46018</v>
      </c>
      <c r="B373" s="5" t="s">
        <v>51</v>
      </c>
      <c r="C373" s="5" t="s">
        <v>3</v>
      </c>
      <c r="D373" s="5" t="s">
        <v>36</v>
      </c>
      <c r="E373" s="7">
        <v>301650</v>
      </c>
      <c r="F373" s="3">
        <v>50</v>
      </c>
      <c r="G373" s="53">
        <v>1523</v>
      </c>
      <c r="H373" s="13">
        <v>14324.460000000012</v>
      </c>
      <c r="I373" s="3">
        <v>30.46</v>
      </c>
      <c r="J373" s="2"/>
      <c r="K373" s="2"/>
      <c r="L373" s="2"/>
      <c r="M373" s="4"/>
    </row>
    <row r="374" spans="1:13" s="5" customFormat="1" ht="24" customHeight="1" thickBot="1">
      <c r="A374" s="6">
        <v>46018</v>
      </c>
      <c r="B374" s="5" t="s">
        <v>59</v>
      </c>
      <c r="C374" s="5" t="s">
        <v>11</v>
      </c>
      <c r="D374" s="5" t="s">
        <v>36</v>
      </c>
      <c r="E374" s="7">
        <v>232468</v>
      </c>
      <c r="F374" s="3">
        <v>50</v>
      </c>
      <c r="G374" s="53">
        <v>1523</v>
      </c>
      <c r="H374" s="13">
        <v>12801.460000000012</v>
      </c>
      <c r="I374" s="3">
        <v>30.46</v>
      </c>
      <c r="J374" s="2"/>
      <c r="K374" s="2"/>
      <c r="L374" s="2"/>
      <c r="M374" s="4"/>
    </row>
    <row r="375" spans="1:13" s="5" customFormat="1" ht="24" customHeight="1" thickBot="1">
      <c r="A375" s="6">
        <v>46018</v>
      </c>
      <c r="B375" s="61" t="s">
        <v>56</v>
      </c>
      <c r="C375" s="5" t="s">
        <v>8</v>
      </c>
      <c r="D375" s="5" t="s">
        <v>34</v>
      </c>
      <c r="E375" s="7">
        <v>292935</v>
      </c>
      <c r="F375" s="3">
        <v>50</v>
      </c>
      <c r="G375" s="53">
        <v>1523</v>
      </c>
      <c r="H375" s="13">
        <v>11278.460000000012</v>
      </c>
      <c r="I375" s="3">
        <v>30.46</v>
      </c>
      <c r="J375" s="2"/>
      <c r="K375" s="2"/>
      <c r="L375" s="2"/>
      <c r="M375" s="4"/>
    </row>
    <row r="376" spans="1:13" s="5" customFormat="1" ht="24" customHeight="1" thickBot="1">
      <c r="A376" s="6">
        <v>46018</v>
      </c>
      <c r="B376" s="5" t="s">
        <v>53</v>
      </c>
      <c r="C376" s="5" t="s">
        <v>10</v>
      </c>
      <c r="D376" s="5" t="s">
        <v>34</v>
      </c>
      <c r="E376" s="7">
        <v>290868</v>
      </c>
      <c r="F376" s="3">
        <v>50</v>
      </c>
      <c r="G376" s="53">
        <v>1523</v>
      </c>
      <c r="H376" s="13">
        <v>9755.4600000000119</v>
      </c>
      <c r="I376" s="3">
        <v>30.46</v>
      </c>
      <c r="J376" s="2"/>
      <c r="K376" s="2"/>
      <c r="L376" s="2"/>
      <c r="M376" s="4"/>
    </row>
    <row r="377" spans="1:13" s="5" customFormat="1" ht="24" customHeight="1" thickBot="1">
      <c r="A377" s="6">
        <v>46018</v>
      </c>
      <c r="B377" s="5" t="s">
        <v>57</v>
      </c>
      <c r="C377" s="5" t="s">
        <v>12</v>
      </c>
      <c r="D377" s="5" t="s">
        <v>36</v>
      </c>
      <c r="E377" s="7">
        <v>167428</v>
      </c>
      <c r="F377" s="3">
        <v>50</v>
      </c>
      <c r="G377" s="53">
        <v>1523</v>
      </c>
      <c r="H377" s="13">
        <v>8232.4600000000119</v>
      </c>
      <c r="I377" s="3">
        <v>30.46</v>
      </c>
      <c r="J377" s="2"/>
      <c r="K377" s="2"/>
      <c r="L377" s="2"/>
      <c r="M377" s="4"/>
    </row>
    <row r="378" spans="1:13" s="5" customFormat="1" ht="24" customHeight="1" thickBot="1">
      <c r="A378" s="6">
        <v>46018</v>
      </c>
      <c r="B378" s="61" t="s">
        <v>43</v>
      </c>
      <c r="C378" s="61" t="s">
        <v>1</v>
      </c>
      <c r="D378" s="5" t="s">
        <v>36</v>
      </c>
      <c r="E378" s="7">
        <v>167442</v>
      </c>
      <c r="F378" s="3">
        <v>50</v>
      </c>
      <c r="G378" s="53">
        <v>1523</v>
      </c>
      <c r="H378" s="13">
        <v>6709.4600000000119</v>
      </c>
      <c r="I378" s="3">
        <v>30.46</v>
      </c>
      <c r="J378" s="2"/>
      <c r="K378" s="2"/>
      <c r="L378" s="2"/>
      <c r="M378" s="4"/>
    </row>
    <row r="379" spans="1:13" s="5" customFormat="1" ht="24" customHeight="1" thickBot="1">
      <c r="A379" s="6">
        <v>46018</v>
      </c>
      <c r="B379" s="5" t="s">
        <v>39</v>
      </c>
      <c r="C379" s="5" t="s">
        <v>40</v>
      </c>
      <c r="D379" s="5" t="s">
        <v>34</v>
      </c>
      <c r="E379" s="7" t="s">
        <v>20</v>
      </c>
      <c r="F379" s="3">
        <v>16.414970453053183</v>
      </c>
      <c r="G379" s="53">
        <v>500</v>
      </c>
      <c r="H379" s="13">
        <v>6209.4600000000119</v>
      </c>
      <c r="I379" s="3">
        <v>30.46</v>
      </c>
      <c r="J379" s="2"/>
      <c r="K379" s="2"/>
      <c r="L379" s="2"/>
      <c r="M379" s="4"/>
    </row>
    <row r="380" spans="1:13" s="5" customFormat="1" ht="24" customHeight="1" thickBot="1">
      <c r="A380" s="6">
        <v>46018</v>
      </c>
      <c r="B380" s="5" t="s">
        <v>46</v>
      </c>
      <c r="C380" s="61" t="s">
        <v>47</v>
      </c>
      <c r="D380" s="5" t="s">
        <v>36</v>
      </c>
      <c r="E380" s="7">
        <v>234684</v>
      </c>
      <c r="F380" s="3">
        <v>50</v>
      </c>
      <c r="G380" s="53">
        <v>1523</v>
      </c>
      <c r="H380" s="13">
        <v>4686.4600000000119</v>
      </c>
      <c r="I380" s="3">
        <v>30.46</v>
      </c>
      <c r="J380" s="2"/>
      <c r="K380" s="2"/>
      <c r="L380" s="2"/>
      <c r="M380" s="4"/>
    </row>
    <row r="381" spans="1:13" s="5" customFormat="1" ht="24" customHeight="1" thickBot="1">
      <c r="A381" s="6">
        <v>46018</v>
      </c>
      <c r="B381" s="61" t="s">
        <v>63</v>
      </c>
      <c r="C381" s="61" t="s">
        <v>13</v>
      </c>
      <c r="D381" s="5" t="s">
        <v>36</v>
      </c>
      <c r="E381" s="7">
        <v>249936</v>
      </c>
      <c r="F381" s="3">
        <v>178.0006565988181</v>
      </c>
      <c r="G381" s="53">
        <v>5421.9</v>
      </c>
      <c r="H381" s="13">
        <v>-735.43999999998778</v>
      </c>
      <c r="I381" s="3">
        <v>30.46</v>
      </c>
      <c r="J381" s="2"/>
      <c r="K381" s="2"/>
      <c r="L381" s="2"/>
      <c r="M381" s="4"/>
    </row>
    <row r="382" spans="1:13" s="5" customFormat="1" ht="24" customHeight="1" thickBot="1">
      <c r="A382" s="6">
        <v>46020</v>
      </c>
      <c r="B382" s="5" t="s">
        <v>49</v>
      </c>
      <c r="C382" s="5" t="s">
        <v>6</v>
      </c>
      <c r="D382" s="5" t="s">
        <v>36</v>
      </c>
      <c r="E382" s="7">
        <v>166684</v>
      </c>
      <c r="F382" s="3">
        <v>76.999343401181875</v>
      </c>
      <c r="G382" s="53">
        <v>2345.4</v>
      </c>
      <c r="H382" s="13">
        <v>-3080.8399999999879</v>
      </c>
      <c r="I382" s="3">
        <v>30.46</v>
      </c>
      <c r="J382" s="2"/>
      <c r="K382" s="2"/>
      <c r="L382" s="2"/>
      <c r="M382" s="4"/>
    </row>
    <row r="383" spans="1:13" s="5" customFormat="1" ht="24" customHeight="1" thickBot="1">
      <c r="A383" s="6">
        <v>46020</v>
      </c>
      <c r="B383" s="5" t="s">
        <v>50</v>
      </c>
      <c r="C383" s="5" t="s">
        <v>5</v>
      </c>
      <c r="D383" s="5" t="s">
        <v>35</v>
      </c>
      <c r="E383" s="7">
        <v>193840</v>
      </c>
      <c r="F383" s="3">
        <v>80</v>
      </c>
      <c r="G383" s="53">
        <v>2436.8000000000002</v>
      </c>
      <c r="H383" s="13">
        <v>-5517.6399999999885</v>
      </c>
      <c r="I383" s="3">
        <v>30.46</v>
      </c>
      <c r="J383" s="2"/>
      <c r="K383" s="2"/>
      <c r="L383" s="2"/>
      <c r="M383" s="4"/>
    </row>
    <row r="384" spans="1:13" s="5" customFormat="1" ht="24" customHeight="1" thickBot="1">
      <c r="A384" s="6">
        <v>46020</v>
      </c>
      <c r="B384" s="5" t="s">
        <v>51</v>
      </c>
      <c r="C384" s="5" t="s">
        <v>3</v>
      </c>
      <c r="D384" s="5" t="s">
        <v>34</v>
      </c>
      <c r="E384" s="7">
        <v>301745</v>
      </c>
      <c r="F384" s="3">
        <v>86.999343401181875</v>
      </c>
      <c r="G384" s="53">
        <v>2650</v>
      </c>
      <c r="H384" s="13">
        <v>-8167.6399999999885</v>
      </c>
      <c r="I384" s="3">
        <v>30.46</v>
      </c>
      <c r="J384" s="2"/>
      <c r="K384" s="2"/>
      <c r="L384" s="2"/>
      <c r="M384" s="4"/>
    </row>
    <row r="385" spans="1:13" s="5" customFormat="1" ht="24" customHeight="1" thickBot="1">
      <c r="A385" s="6">
        <v>46020</v>
      </c>
      <c r="B385" s="5" t="s">
        <v>52</v>
      </c>
      <c r="C385" s="5" t="s">
        <v>4</v>
      </c>
      <c r="D385" s="5" t="s">
        <v>36</v>
      </c>
      <c r="E385" s="7">
        <v>169577</v>
      </c>
      <c r="F385" s="3">
        <v>50</v>
      </c>
      <c r="G385" s="53">
        <v>1523</v>
      </c>
      <c r="H385" s="13">
        <v>-9690.6399999999885</v>
      </c>
      <c r="I385" s="3">
        <v>30.46</v>
      </c>
      <c r="J385" s="2"/>
      <c r="K385" s="2"/>
      <c r="L385" s="2"/>
      <c r="M385" s="4"/>
    </row>
    <row r="386" spans="1:13" s="5" customFormat="1" ht="24" customHeight="1" thickBot="1">
      <c r="A386" s="6">
        <v>46020</v>
      </c>
      <c r="B386" s="5" t="s">
        <v>53</v>
      </c>
      <c r="C386" s="5" t="s">
        <v>10</v>
      </c>
      <c r="D386" s="5" t="s">
        <v>34</v>
      </c>
      <c r="E386" s="7">
        <v>291003</v>
      </c>
      <c r="F386" s="3">
        <v>50</v>
      </c>
      <c r="G386" s="53">
        <v>1523</v>
      </c>
      <c r="H386" s="13">
        <v>-11213.639999999989</v>
      </c>
      <c r="I386" s="3">
        <v>30.46</v>
      </c>
      <c r="J386" s="2"/>
      <c r="K386" s="2"/>
      <c r="L386" s="2"/>
      <c r="M386" s="4"/>
    </row>
    <row r="387" spans="1:13" s="5" customFormat="1" ht="24" customHeight="1" thickBot="1">
      <c r="A387" s="6">
        <v>46020</v>
      </c>
      <c r="B387" s="5" t="s">
        <v>54</v>
      </c>
      <c r="C387" s="5" t="s">
        <v>16</v>
      </c>
      <c r="D387" s="5" t="s">
        <v>36</v>
      </c>
      <c r="E387" s="7">
        <v>231716</v>
      </c>
      <c r="F387" s="3">
        <v>80</v>
      </c>
      <c r="G387" s="53">
        <v>2436.8000000000002</v>
      </c>
      <c r="H387" s="13">
        <v>-13650.439999999988</v>
      </c>
      <c r="I387" s="3">
        <v>30.46</v>
      </c>
      <c r="J387" s="2"/>
      <c r="K387" s="2"/>
      <c r="L387" s="2"/>
      <c r="M387" s="4"/>
    </row>
    <row r="388" spans="1:13" s="5" customFormat="1" ht="24" customHeight="1" thickBot="1">
      <c r="A388" s="6">
        <v>46020</v>
      </c>
      <c r="B388" s="5" t="s">
        <v>41</v>
      </c>
      <c r="C388" s="5" t="s">
        <v>9</v>
      </c>
      <c r="D388" s="5" t="s">
        <v>34</v>
      </c>
      <c r="E388" s="7">
        <v>919010</v>
      </c>
      <c r="F388" s="3">
        <v>59.999999999999993</v>
      </c>
      <c r="G388" s="53">
        <v>1827.6</v>
      </c>
      <c r="H388" s="13">
        <v>-15478.039999999988</v>
      </c>
      <c r="I388" s="3">
        <v>30.46</v>
      </c>
      <c r="J388" s="2"/>
      <c r="K388" s="2"/>
      <c r="L388" s="2"/>
      <c r="M388" s="4"/>
    </row>
    <row r="389" spans="1:13" s="5" customFormat="1" ht="24" customHeight="1" thickBot="1">
      <c r="A389" s="6">
        <v>46020</v>
      </c>
      <c r="B389" s="5" t="s">
        <v>42</v>
      </c>
      <c r="C389" s="5" t="s">
        <v>32</v>
      </c>
      <c r="D389" s="5" t="s">
        <v>34</v>
      </c>
      <c r="E389" s="7">
        <v>270918</v>
      </c>
      <c r="F389" s="3">
        <v>50</v>
      </c>
      <c r="G389" s="53">
        <v>1523</v>
      </c>
      <c r="H389" s="13">
        <v>-17001.039999999986</v>
      </c>
      <c r="I389" s="3">
        <v>30.46</v>
      </c>
      <c r="J389" s="2"/>
      <c r="K389" s="2"/>
      <c r="L389" s="2"/>
      <c r="M389" s="4"/>
    </row>
    <row r="390" spans="1:13" s="5" customFormat="1" ht="24" customHeight="1" thickBot="1">
      <c r="A390" s="6">
        <v>46020</v>
      </c>
      <c r="B390" s="61" t="s">
        <v>43</v>
      </c>
      <c r="C390" s="61" t="s">
        <v>1</v>
      </c>
      <c r="D390" s="5" t="s">
        <v>36</v>
      </c>
      <c r="E390" s="7">
        <v>167567</v>
      </c>
      <c r="F390" s="3">
        <v>50</v>
      </c>
      <c r="G390" s="53">
        <v>1523</v>
      </c>
      <c r="H390" s="13">
        <v>-18524.039999999986</v>
      </c>
      <c r="I390" s="3">
        <v>30.46</v>
      </c>
      <c r="J390" s="2"/>
      <c r="K390" s="2"/>
      <c r="L390" s="2"/>
      <c r="M390" s="4"/>
    </row>
    <row r="391" spans="1:13" s="5" customFormat="1" ht="24" customHeight="1" thickBot="1">
      <c r="A391" s="6">
        <v>46020</v>
      </c>
      <c r="B391" s="5" t="s">
        <v>44</v>
      </c>
      <c r="C391" s="61" t="s">
        <v>13</v>
      </c>
      <c r="D391" s="5" t="s">
        <v>36</v>
      </c>
      <c r="E391" s="7">
        <v>674356</v>
      </c>
      <c r="F391" s="3">
        <v>59.999999999999993</v>
      </c>
      <c r="G391" s="53">
        <v>1827.6</v>
      </c>
      <c r="H391" s="13">
        <v>-20351.639999999985</v>
      </c>
      <c r="I391" s="3">
        <v>30.46</v>
      </c>
      <c r="J391" s="2"/>
      <c r="K391" s="2"/>
      <c r="L391" s="2"/>
      <c r="M391" s="4"/>
    </row>
    <row r="392" spans="1:13" s="5" customFormat="1" ht="24" customHeight="1" thickBot="1">
      <c r="A392" s="6">
        <v>46020</v>
      </c>
      <c r="B392" s="5" t="s">
        <v>45</v>
      </c>
      <c r="C392" s="5" t="s">
        <v>7</v>
      </c>
      <c r="D392" s="5" t="s">
        <v>36</v>
      </c>
      <c r="E392" s="7">
        <v>172007</v>
      </c>
      <c r="F392" s="3">
        <v>141.16874589625738</v>
      </c>
      <c r="G392" s="53">
        <v>4300</v>
      </c>
      <c r="H392" s="13">
        <v>-24651.639999999985</v>
      </c>
      <c r="I392" s="3">
        <v>30.46</v>
      </c>
      <c r="J392" s="2"/>
      <c r="K392" s="2"/>
      <c r="L392" s="2"/>
      <c r="M392" s="4"/>
    </row>
    <row r="393" spans="1:13" s="5" customFormat="1" ht="24" customHeight="1" thickBot="1">
      <c r="A393" s="6">
        <v>46020</v>
      </c>
      <c r="B393" s="5" t="s">
        <v>46</v>
      </c>
      <c r="C393" s="61" t="s">
        <v>47</v>
      </c>
      <c r="D393" s="5" t="s">
        <v>36</v>
      </c>
      <c r="E393" s="7">
        <v>234792</v>
      </c>
      <c r="F393" s="3">
        <v>50</v>
      </c>
      <c r="G393" s="53">
        <v>1523</v>
      </c>
      <c r="H393" s="13">
        <v>-26174.639999999985</v>
      </c>
      <c r="I393" s="3">
        <v>30.46</v>
      </c>
      <c r="J393" s="2"/>
      <c r="K393" s="2"/>
      <c r="L393" s="2"/>
      <c r="M393" s="4"/>
    </row>
    <row r="394" spans="1:13" s="5" customFormat="1" ht="24" customHeight="1" thickBot="1">
      <c r="A394" s="6">
        <v>46020</v>
      </c>
      <c r="B394" s="5" t="s">
        <v>48</v>
      </c>
      <c r="C394" s="5" t="s">
        <v>17</v>
      </c>
      <c r="D394" s="5" t="s">
        <v>36</v>
      </c>
      <c r="E394" s="7">
        <v>155935</v>
      </c>
      <c r="F394" s="3">
        <v>80</v>
      </c>
      <c r="G394" s="53">
        <v>2436.8000000000002</v>
      </c>
      <c r="H394" s="13">
        <v>-28611.439999999984</v>
      </c>
      <c r="I394" s="3">
        <v>30.46</v>
      </c>
      <c r="J394" s="2"/>
      <c r="K394" s="2"/>
      <c r="L394" s="2"/>
      <c r="M394" s="4"/>
    </row>
    <row r="395" spans="1:13" s="5" customFormat="1" ht="24" customHeight="1" thickBot="1">
      <c r="A395" s="6">
        <v>46021</v>
      </c>
      <c r="B395" s="5" t="s">
        <v>49</v>
      </c>
      <c r="C395" s="5" t="s">
        <v>6</v>
      </c>
      <c r="D395" s="5" t="s">
        <v>34</v>
      </c>
      <c r="E395" s="7">
        <v>166919</v>
      </c>
      <c r="F395" s="3">
        <v>50</v>
      </c>
      <c r="G395" s="53">
        <v>1523</v>
      </c>
      <c r="H395" s="13">
        <v>-30134.439999999984</v>
      </c>
      <c r="I395" s="3">
        <v>30.46</v>
      </c>
      <c r="J395" s="2"/>
      <c r="K395" s="2"/>
      <c r="L395" s="2"/>
      <c r="M395" s="4"/>
    </row>
    <row r="396" spans="1:13" s="5" customFormat="1" ht="24" customHeight="1" thickBot="1">
      <c r="A396" s="6">
        <v>46021</v>
      </c>
      <c r="B396" s="5" t="s">
        <v>42</v>
      </c>
      <c r="C396" s="5" t="s">
        <v>32</v>
      </c>
      <c r="D396" s="5" t="s">
        <v>34</v>
      </c>
      <c r="E396" s="7">
        <v>271019</v>
      </c>
      <c r="F396" s="3">
        <v>50</v>
      </c>
      <c r="G396" s="53">
        <v>1523</v>
      </c>
      <c r="H396" s="13">
        <v>-31657.439999999984</v>
      </c>
      <c r="I396" s="3">
        <v>30.46</v>
      </c>
      <c r="J396" s="2"/>
      <c r="K396" s="2"/>
      <c r="L396" s="2"/>
      <c r="M396" s="4"/>
    </row>
    <row r="397" spans="1:13" s="5" customFormat="1" ht="24" customHeight="1" thickBot="1">
      <c r="A397" s="6">
        <v>46021</v>
      </c>
      <c r="B397" s="5" t="s">
        <v>39</v>
      </c>
      <c r="C397" s="5" t="s">
        <v>40</v>
      </c>
      <c r="D397" s="5" t="s">
        <v>34</v>
      </c>
      <c r="E397" s="7" t="s">
        <v>20</v>
      </c>
      <c r="F397" s="3">
        <v>16.414970453053201</v>
      </c>
      <c r="G397" s="53">
        <v>500</v>
      </c>
      <c r="H397" s="13">
        <v>-32157.439999999984</v>
      </c>
      <c r="I397" s="3">
        <v>30.46</v>
      </c>
      <c r="J397" s="2"/>
      <c r="K397" s="2"/>
      <c r="L397" s="2"/>
      <c r="M397" s="4"/>
    </row>
    <row r="398" spans="1:13" s="5" customFormat="1" ht="24" customHeight="1" thickBot="1">
      <c r="A398" s="6">
        <v>46021</v>
      </c>
      <c r="B398" s="14" t="s">
        <v>20</v>
      </c>
      <c r="C398" s="14" t="s">
        <v>20</v>
      </c>
      <c r="D398" s="14" t="s">
        <v>20</v>
      </c>
      <c r="E398" s="15" t="s">
        <v>65</v>
      </c>
      <c r="F398" s="3"/>
      <c r="G398" s="53">
        <v>-70000</v>
      </c>
      <c r="H398" s="13">
        <v>37842.560000000012</v>
      </c>
      <c r="I398" s="3">
        <v>30.46</v>
      </c>
      <c r="J398" s="2" t="s">
        <v>111</v>
      </c>
      <c r="K398" s="2"/>
      <c r="L398" s="2"/>
      <c r="M398" s="4"/>
    </row>
    <row r="399" spans="1:13" ht="24" customHeight="1">
      <c r="A399" s="6"/>
      <c r="B399" s="14" t="s">
        <v>20</v>
      </c>
      <c r="C399" s="14" t="s">
        <v>83</v>
      </c>
      <c r="D399" s="5" t="s">
        <v>35</v>
      </c>
      <c r="E399" s="8">
        <v>23962.742909750748</v>
      </c>
      <c r="F399" s="3" t="s">
        <v>84</v>
      </c>
      <c r="G399" s="8"/>
      <c r="H399" s="13"/>
      <c r="I399" s="3"/>
      <c r="J399" s="2"/>
      <c r="K399" s="2"/>
      <c r="L399" s="2"/>
      <c r="M399" s="2"/>
    </row>
    <row r="400" spans="1:13" ht="24" customHeight="1">
      <c r="A400" s="6"/>
      <c r="B400" s="14" t="s">
        <v>20</v>
      </c>
      <c r="C400" s="14" t="s">
        <v>85</v>
      </c>
      <c r="D400" s="5" t="s">
        <v>35</v>
      </c>
      <c r="E400" s="8">
        <v>739680.9</v>
      </c>
      <c r="F400" s="3" t="s">
        <v>86</v>
      </c>
      <c r="G400" s="8"/>
      <c r="H400" s="13"/>
      <c r="I400" s="3"/>
      <c r="J400" s="2"/>
      <c r="K400" s="2"/>
      <c r="L400" s="2"/>
      <c r="M400" s="2"/>
    </row>
    <row r="401" spans="1:13" ht="24" customHeight="1">
      <c r="A401" s="6"/>
      <c r="B401" s="14" t="s">
        <v>20</v>
      </c>
      <c r="C401" s="14" t="s">
        <v>87</v>
      </c>
      <c r="D401" s="5" t="s">
        <v>35</v>
      </c>
      <c r="E401" s="8">
        <v>780000</v>
      </c>
      <c r="F401" s="3" t="s">
        <v>86</v>
      </c>
      <c r="G401" s="8"/>
      <c r="H401" s="13"/>
      <c r="I401" s="3"/>
      <c r="J401" s="2"/>
      <c r="K401" s="2"/>
      <c r="L401" s="2"/>
      <c r="M401" s="2"/>
    </row>
    <row r="402" spans="1:13" ht="24" customHeight="1">
      <c r="A402" s="6"/>
      <c r="B402" s="14" t="s">
        <v>20</v>
      </c>
      <c r="C402" s="14" t="s">
        <v>88</v>
      </c>
      <c r="D402" s="5" t="s">
        <v>35</v>
      </c>
      <c r="E402" s="8">
        <v>7188.8228729252196</v>
      </c>
      <c r="F402" s="3" t="s">
        <v>86</v>
      </c>
      <c r="G402" s="8"/>
      <c r="H402" s="13"/>
      <c r="I402" s="3"/>
      <c r="J402" s="2"/>
      <c r="K402" s="2"/>
      <c r="L402" s="2"/>
      <c r="M402" s="2"/>
    </row>
    <row r="403" spans="1:13" s="5" customFormat="1" ht="24" customHeight="1">
      <c r="A403" s="1" t="s">
        <v>20</v>
      </c>
      <c r="B403" s="2" t="s">
        <v>20</v>
      </c>
      <c r="C403" s="2" t="s">
        <v>20</v>
      </c>
      <c r="D403" s="2"/>
      <c r="E403" s="3" t="s">
        <v>31</v>
      </c>
      <c r="F403" s="3" t="s">
        <v>20</v>
      </c>
      <c r="G403" s="3" t="s">
        <v>20</v>
      </c>
      <c r="H403" s="13">
        <v>37842.559999999998</v>
      </c>
      <c r="I403" s="3" t="s">
        <v>20</v>
      </c>
      <c r="J403" s="2"/>
      <c r="K403" s="2"/>
      <c r="L403" s="2"/>
      <c r="M403" s="2"/>
    </row>
  </sheetData>
  <autoFilter ref="A2:Z403" xr:uid="{688A39DE-83AE-4A24-AFA8-51F2D059A7B1}"/>
  <mergeCells count="1">
    <mergeCell ref="G1:I1"/>
  </mergeCells>
  <conditionalFormatting sqref="H1:H2 H404:H1048576">
    <cfRule type="colorScale" priority="4">
      <colorScale>
        <cfvo type="num" val="0"/>
        <cfvo type="num" val="0"/>
        <color rgb="FFFF0000"/>
        <color rgb="FF66FF33"/>
      </colorScale>
    </cfRule>
  </conditionalFormatting>
  <conditionalFormatting sqref="H3:H398">
    <cfRule type="colorScale" priority="3">
      <colorScale>
        <cfvo type="num" val="0"/>
        <cfvo type="num" val="0"/>
        <color rgb="FFFF0000"/>
        <color rgb="FF66FF33"/>
      </colorScale>
    </cfRule>
  </conditionalFormatting>
  <conditionalFormatting sqref="H399:H402">
    <cfRule type="colorScale" priority="2">
      <colorScale>
        <cfvo type="num" val="0"/>
        <cfvo type="num" val="0"/>
        <color rgb="FFFF0000"/>
        <color rgb="FF66FF33"/>
      </colorScale>
    </cfRule>
  </conditionalFormatting>
  <conditionalFormatting sqref="H403">
    <cfRule type="colorScale" priority="1">
      <colorScale>
        <cfvo type="num" val="0"/>
        <cfvo type="num" val="0"/>
        <color rgb="FFFF0000"/>
        <color rgb="FF66FF33"/>
      </colorScale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เครดิต Caltex02.26</vt:lpstr>
      <vt:lpstr>เครดิต Caltex01.26</vt:lpstr>
      <vt:lpstr>เครดิต Caltex12.25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1903</dc:creator>
  <cp:lastModifiedBy>Pongsakan Kuljittibaramee</cp:lastModifiedBy>
  <dcterms:created xsi:type="dcterms:W3CDTF">2025-09-22T11:57:38Z</dcterms:created>
  <dcterms:modified xsi:type="dcterms:W3CDTF">2026-02-25T08:01:45Z</dcterms:modified>
</cp:coreProperties>
</file>